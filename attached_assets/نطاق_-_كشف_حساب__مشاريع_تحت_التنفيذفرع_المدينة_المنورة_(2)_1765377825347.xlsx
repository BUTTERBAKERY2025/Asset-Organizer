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sheebsadels/Downloads/"/>
    </mc:Choice>
  </mc:AlternateContent>
  <xr:revisionPtr revIDLastSave="0" documentId="13_ncr:1_{FB5177DD-1421-C74E-AB04-88D93620641E}" xr6:coauthVersionLast="47" xr6:coauthVersionMax="47" xr10:uidLastSave="{00000000-0000-0000-0000-000000000000}"/>
  <bookViews>
    <workbookView xWindow="4660" yWindow="500" windowWidth="35040" windowHeight="17680" xr2:uid="{00000000-000D-0000-FFFF-FFFF00000000}"/>
  </bookViews>
  <sheets>
    <sheet name="كشف حساب_ مشاريع تحت التنفي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H13" i="1"/>
</calcChain>
</file>

<file path=xl/sharedStrings.xml><?xml version="1.0" encoding="utf-8"?>
<sst xmlns="http://schemas.openxmlformats.org/spreadsheetml/2006/main" count="35" uniqueCount="25">
  <si>
    <t>كشف حساب: مشاريع تحت التنفيذ</t>
  </si>
  <si>
    <t>الشركة</t>
  </si>
  <si>
    <t>شركة الزبد الافضل</t>
  </si>
  <si>
    <t>الفرع</t>
  </si>
  <si>
    <t>مخابز بتر بيكري (الزبد)</t>
  </si>
  <si>
    <t>المركز</t>
  </si>
  <si>
    <t>بتر بيكري - الزبد - المدينة المنورة</t>
  </si>
  <si>
    <t>تاريخ الطباعة</t>
  </si>
  <si>
    <t>10.12.2025 02:15 PM</t>
  </si>
  <si>
    <t>#</t>
  </si>
  <si>
    <t>نوع القيد</t>
  </si>
  <si>
    <t>الرقم</t>
  </si>
  <si>
    <t>التاريخ</t>
  </si>
  <si>
    <t>البيان</t>
  </si>
  <si>
    <t>القسم</t>
  </si>
  <si>
    <t>مديـــن</t>
  </si>
  <si>
    <t>دائـــن</t>
  </si>
  <si>
    <t>قيد يومية</t>
  </si>
  <si>
    <t>مركز تكلفة - المقاولات - المشاريع تحت التنفيذ</t>
  </si>
  <si>
    <t>-</t>
  </si>
  <si>
    <t>الإجمالي</t>
  </si>
  <si>
    <t>مؤسسة بيت الندى للتبريد والتكييف -فاتورة رقم -2025/1347 مكيفات كونسيلد جر 4 طن +شامل التركيب والتوريد</t>
  </si>
  <si>
    <t>مبخر ثرموي تركي 2 مروحة -عدد 1</t>
  </si>
  <si>
    <t>شفاط 47*47 -عدد2</t>
  </si>
  <si>
    <t>ستارة متحركة لباب غرفة التبريد1*2-عدد1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</si>
</sst>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b/>
      <sz val="15"/>
      <color rgb="FFFFFFFF"/>
      <name val="Calibri"/>
      <family val="2"/>
    </font>
    <font>
      <b/>
      <sz val="12"/>
      <color rgb="FF000000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15967"/>
      </patternFill>
    </fill>
    <fill>
      <patternFill patternType="solid">
        <fgColor rgb="FFF7F7F7"/>
      </patternFill>
    </fill>
    <fill>
      <patternFill patternType="solid">
        <fgColor rgb="FF538DD5"/>
      </patternFill>
    </fill>
    <fill>
      <patternFill patternType="solid">
        <fgColor rgb="FF538DD5"/>
        <bgColor indexed="64"/>
      </patternFill>
    </fill>
  </fills>
  <borders count="14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indexed="64"/>
      </left>
      <right style="hair">
        <color rgb="FF000000"/>
      </right>
      <top style="thin">
        <color indexed="64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indexed="64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rgb="FF000000"/>
      </right>
      <top style="hair">
        <color rgb="FF000000"/>
      </top>
      <bottom style="thin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1">
    <xf numFmtId="0" fontId="0" fillId="0" borderId="0" applyBorder="0"/>
  </cellStyleXfs>
  <cellXfs count="28">
    <xf numFmtId="0" fontId="0" fillId="0" borderId="0" xfId="0"/>
    <xf numFmtId="0" fontId="3" fillId="4" borderId="1" xfId="0" applyFont="1" applyFill="1" applyBorder="1"/>
    <xf numFmtId="4" fontId="3" fillId="4" borderId="1" xfId="0" applyNumberFormat="1" applyFont="1" applyFill="1" applyBorder="1"/>
    <xf numFmtId="0" fontId="0" fillId="0" borderId="1" xfId="0" applyBorder="1"/>
    <xf numFmtId="22" fontId="0" fillId="0" borderId="1" xfId="0" applyNumberFormat="1" applyBorder="1"/>
    <xf numFmtId="0" fontId="0" fillId="0" borderId="2" xfId="0" applyBorder="1"/>
    <xf numFmtId="4" fontId="0" fillId="0" borderId="2" xfId="0" applyNumberFormat="1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" fontId="4" fillId="5" borderId="3" xfId="0" applyNumberFormat="1" applyFont="1" applyFill="1" applyBorder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left"/>
    </xf>
    <xf numFmtId="22" fontId="0" fillId="0" borderId="5" xfId="0" applyNumberFormat="1" applyBorder="1"/>
    <xf numFmtId="0" fontId="0" fillId="0" borderId="6" xfId="0" applyBorder="1"/>
    <xf numFmtId="4" fontId="0" fillId="0" borderId="6" xfId="0" applyNumberFormat="1" applyBorder="1"/>
    <xf numFmtId="4" fontId="0" fillId="0" borderId="7" xfId="0" applyNumberFormat="1" applyBorder="1"/>
    <xf numFmtId="0" fontId="0" fillId="0" borderId="8" xfId="0" applyBorder="1"/>
    <xf numFmtId="4" fontId="0" fillId="0" borderId="9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left"/>
    </xf>
    <xf numFmtId="22" fontId="0" fillId="0" borderId="11" xfId="0" applyNumberFormat="1" applyBorder="1"/>
    <xf numFmtId="0" fontId="0" fillId="0" borderId="12" xfId="0" applyBorder="1"/>
    <xf numFmtId="4" fontId="0" fillId="0" borderId="12" xfId="0" applyNumberFormat="1" applyBorder="1"/>
    <xf numFmtId="4" fontId="0" fillId="0" borderId="13" xfId="0" applyNumberFormat="1" applyBorder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4" formatCode="#,##0.00"/>
      <fill>
        <patternFill patternType="solid">
          <fgColor indexed="64"/>
          <bgColor rgb="FF538DD5"/>
        </patternFill>
      </fill>
      <alignment horizontal="general" vertical="bottom" textRotation="0" wrapText="0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  <protection locked="1" hidden="0"/>
    </dxf>
    <dxf>
      <numFmt numFmtId="4" formatCode="#,##0.00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4" formatCode="#,##0.00"/>
      <fill>
        <patternFill patternType="solid">
          <fgColor indexed="64"/>
          <bgColor rgb="FF538DD5"/>
        </patternFill>
      </fill>
      <alignment horizontal="general" vertical="bottom" textRotation="0" wrapText="0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  <protection locked="1" hidden="0"/>
    </dxf>
    <dxf>
      <numFmt numFmtId="4" formatCode="#,##0.00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4" formatCode="#,##0.00"/>
      <fill>
        <patternFill patternType="solid">
          <fgColor indexed="64"/>
          <bgColor rgb="FF538DD5"/>
        </patternFill>
      </fill>
      <alignment horizontal="general" vertical="bottom" textRotation="0" wrapText="0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  <protection locked="1" hidden="0"/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4" formatCode="#,##0.00"/>
      <fill>
        <patternFill patternType="solid">
          <fgColor indexed="64"/>
          <bgColor rgb="FF538DD5"/>
        </patternFill>
      </fill>
      <alignment horizontal="general" vertical="bottom" textRotation="0" wrapText="0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  <protection locked="1" hidden="0"/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4" formatCode="#,##0.00"/>
      <fill>
        <patternFill patternType="solid">
          <fgColor indexed="64"/>
          <bgColor rgb="FF538DD5"/>
        </patternFill>
      </fill>
      <alignment horizontal="general" vertical="bottom" textRotation="0" wrapText="0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  <protection locked="1" hidden="0"/>
    </dxf>
    <dxf>
      <numFmt numFmtId="164" formatCode="m/d/yyyy\ h:mm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4" formatCode="#,##0.00"/>
      <fill>
        <patternFill patternType="solid">
          <fgColor indexed="64"/>
          <bgColor rgb="FF538DD5"/>
        </patternFill>
      </fill>
      <alignment horizontal="general" vertical="bottom" textRotation="0" wrapText="0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  <protection locked="1" hidden="0"/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4" formatCode="#,##0.00"/>
      <fill>
        <patternFill patternType="solid">
          <fgColor indexed="64"/>
          <bgColor rgb="FF538DD5"/>
        </patternFill>
      </fill>
      <alignment horizontal="general" vertical="bottom" textRotation="0" wrapText="0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  <protection locked="1" hidden="0"/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4" formatCode="#,##0.00"/>
      <fill>
        <patternFill patternType="solid">
          <fgColor indexed="64"/>
          <bgColor rgb="FF538DD5"/>
        </patternFill>
      </fill>
      <alignment horizontal="general" vertical="bottom" textRotation="0" wrapText="0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  <protection locked="1" hidden="0"/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8:H13" totalsRowCount="1">
  <autoFilter ref="A8:H12" xr:uid="{00000000-0009-0000-0100-000001000000}"/>
  <tableColumns count="8">
    <tableColumn id="1" xr3:uid="{00000000-0010-0000-0000-000001000000}" name="#" totalsRowLabel="-" dataDxfId="15" totalsRowDxfId="14"/>
    <tableColumn id="2" xr3:uid="{00000000-0010-0000-0000-000002000000}" name="نوع القيد" totalsRowLabel="الإجمالي" dataDxfId="13" totalsRowDxfId="12"/>
    <tableColumn id="3" xr3:uid="{00000000-0010-0000-0000-000003000000}" name="الرقم" totalsRowLabel="-" dataDxfId="11" totalsRowDxfId="10"/>
    <tableColumn id="4" xr3:uid="{00000000-0010-0000-0000-000004000000}" name="التاريخ" totalsRowLabel="-" dataDxfId="9" totalsRowDxfId="8"/>
    <tableColumn id="5" xr3:uid="{00000000-0010-0000-0000-000005000000}" name="البيان" totalsRowLabel="-" dataDxfId="7" totalsRowDxfId="6"/>
    <tableColumn id="6" xr3:uid="{00000000-0010-0000-0000-000006000000}" name="القسم" totalsRowLabel="-" dataDxfId="5" totalsRowDxfId="4"/>
    <tableColumn id="7" xr3:uid="{00000000-0010-0000-0000-000007000000}" name="مديـــن" totalsRowFunction="sum" dataDxfId="3" totalsRowDxfId="2"/>
    <tableColumn id="8" xr3:uid="{00000000-0010-0000-0000-000008000000}" name="دائـــن" totalsRowFunction="sum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showGridLines="0" rightToLeft="1" tabSelected="1" workbookViewId="0">
      <selection activeCell="F23" sqref="F23"/>
    </sheetView>
  </sheetViews>
  <sheetFormatPr baseColWidth="10" defaultColWidth="8.83203125" defaultRowHeight="15" x14ac:dyDescent="0.2"/>
  <cols>
    <col min="1" max="1" width="6.6640625" customWidth="1"/>
    <col min="2" max="2" width="12.5" customWidth="1"/>
    <col min="3" max="3" width="7.83203125" customWidth="1"/>
    <col min="4" max="4" width="16.33203125" customWidth="1"/>
    <col min="5" max="5" width="80.6640625" customWidth="1"/>
    <col min="6" max="6" width="68" customWidth="1"/>
    <col min="7" max="7" width="10.5" customWidth="1"/>
    <col min="8" max="8" width="8.5" customWidth="1"/>
  </cols>
  <sheetData>
    <row r="1" spans="1:8" ht="20" x14ac:dyDescent="0.25">
      <c r="A1" s="10" t="s">
        <v>0</v>
      </c>
      <c r="B1" s="10"/>
      <c r="C1" s="10"/>
      <c r="D1" s="10"/>
      <c r="E1" s="10"/>
      <c r="F1" s="10"/>
    </row>
    <row r="3" spans="1:8" x14ac:dyDescent="0.2">
      <c r="A3" s="9" t="s">
        <v>1</v>
      </c>
      <c r="B3" s="9"/>
      <c r="C3" s="9"/>
      <c r="D3" s="9" t="s">
        <v>2</v>
      </c>
      <c r="E3" s="9"/>
      <c r="F3" s="9"/>
    </row>
    <row r="4" spans="1:8" ht="16" x14ac:dyDescent="0.2">
      <c r="A4" s="9" t="s">
        <v>3</v>
      </c>
      <c r="B4" s="9"/>
      <c r="C4" s="9"/>
      <c r="D4" s="9" t="s">
        <v>4</v>
      </c>
      <c r="E4" s="9"/>
      <c r="F4" s="9"/>
    </row>
    <row r="5" spans="1:8" ht="16" x14ac:dyDescent="0.2">
      <c r="A5" s="9" t="s">
        <v>5</v>
      </c>
      <c r="B5" s="9"/>
      <c r="C5" s="9"/>
      <c r="D5" s="9" t="s">
        <v>6</v>
      </c>
      <c r="E5" s="9"/>
      <c r="F5" s="9"/>
    </row>
    <row r="6" spans="1:8" ht="16" x14ac:dyDescent="0.2">
      <c r="A6" s="9" t="s">
        <v>7</v>
      </c>
      <c r="B6" s="9"/>
      <c r="C6" s="9"/>
      <c r="D6" s="9" t="s">
        <v>8</v>
      </c>
      <c r="E6" s="9"/>
      <c r="F6" s="9"/>
    </row>
    <row r="8" spans="1:8" x14ac:dyDescent="0.2">
      <c r="A8" s="1" t="s">
        <v>9</v>
      </c>
      <c r="B8" s="1" t="s">
        <v>10</v>
      </c>
      <c r="C8" s="1" t="s">
        <v>11</v>
      </c>
      <c r="D8" s="1" t="s">
        <v>12</v>
      </c>
      <c r="E8" s="1" t="s">
        <v>13</v>
      </c>
      <c r="F8" s="1" t="s">
        <v>14</v>
      </c>
      <c r="G8" s="2" t="s">
        <v>15</v>
      </c>
      <c r="H8" s="2" t="s">
        <v>16</v>
      </c>
    </row>
    <row r="9" spans="1:8" x14ac:dyDescent="0.2">
      <c r="A9" s="12">
        <v>482</v>
      </c>
      <c r="B9" s="13" t="s">
        <v>17</v>
      </c>
      <c r="C9" s="14">
        <v>9208</v>
      </c>
      <c r="D9" s="15">
        <v>45934.59652777778</v>
      </c>
      <c r="E9" s="16" t="s">
        <v>21</v>
      </c>
      <c r="F9" s="13" t="s">
        <v>18</v>
      </c>
      <c r="G9" s="17">
        <v>59115</v>
      </c>
      <c r="H9" s="18">
        <v>0</v>
      </c>
    </row>
    <row r="10" spans="1:8" x14ac:dyDescent="0.2">
      <c r="A10" s="19">
        <v>483</v>
      </c>
      <c r="B10" s="3" t="s">
        <v>17</v>
      </c>
      <c r="C10" s="7">
        <v>8543</v>
      </c>
      <c r="D10" s="4">
        <v>45949.59652777778</v>
      </c>
      <c r="E10" s="5" t="s">
        <v>22</v>
      </c>
      <c r="F10" s="3" t="s">
        <v>18</v>
      </c>
      <c r="G10" s="6">
        <v>2700</v>
      </c>
      <c r="H10" s="20">
        <v>0</v>
      </c>
    </row>
    <row r="11" spans="1:8" x14ac:dyDescent="0.2">
      <c r="A11" s="19">
        <v>484</v>
      </c>
      <c r="B11" s="3" t="s">
        <v>17</v>
      </c>
      <c r="C11" s="8">
        <v>9290</v>
      </c>
      <c r="D11" s="4">
        <v>45977.59652777778</v>
      </c>
      <c r="E11" s="5" t="s">
        <v>23</v>
      </c>
      <c r="F11" s="3" t="s">
        <v>18</v>
      </c>
      <c r="G11" s="6">
        <v>1340</v>
      </c>
      <c r="H11" s="20">
        <v>0</v>
      </c>
    </row>
    <row r="12" spans="1:8" x14ac:dyDescent="0.2">
      <c r="A12" s="21">
        <v>485</v>
      </c>
      <c r="B12" s="22" t="s">
        <v>17</v>
      </c>
      <c r="C12" s="23">
        <v>9290</v>
      </c>
      <c r="D12" s="24">
        <v>45977.59652777778</v>
      </c>
      <c r="E12" s="25" t="s">
        <v>24</v>
      </c>
      <c r="F12" s="22" t="s">
        <v>18</v>
      </c>
      <c r="G12" s="26">
        <v>405</v>
      </c>
      <c r="H12" s="27">
        <v>0</v>
      </c>
    </row>
    <row r="13" spans="1:8" x14ac:dyDescent="0.2">
      <c r="A13" s="11" t="s">
        <v>19</v>
      </c>
      <c r="B13" s="11" t="s">
        <v>20</v>
      </c>
      <c r="C13" s="11" t="s">
        <v>19</v>
      </c>
      <c r="D13" s="11" t="s">
        <v>19</v>
      </c>
      <c r="E13" s="11" t="s">
        <v>19</v>
      </c>
      <c r="F13" s="11" t="s">
        <v>19</v>
      </c>
      <c r="G13" s="11">
        <f>SUBTOTAL(109,Table1[مديـــن])</f>
        <v>63560</v>
      </c>
      <c r="H13" s="11">
        <f>SUBTOTAL(109,Table1[دائـــن])</f>
        <v>0</v>
      </c>
    </row>
  </sheetData>
  <mergeCells count="9">
    <mergeCell ref="A5:C5"/>
    <mergeCell ref="D5:F5"/>
    <mergeCell ref="A6:C6"/>
    <mergeCell ref="D6:F6"/>
    <mergeCell ref="A1:F1"/>
    <mergeCell ref="A3:C3"/>
    <mergeCell ref="D3:F3"/>
    <mergeCell ref="A4:C4"/>
    <mergeCell ref="D4:F4"/>
  </mergeCells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كشف حساب_ مشاريع تحت التنفيذ</vt:lpstr>
    </vt:vector>
  </TitlesOfParts>
  <Manager>AL-SULTAN NITAQ</Manager>
  <Company>شركة الزبد الأفضل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نطاق - كشف حساب_ مشاريع تحت التنفيذ</dc:title>
  <dc:subject>نطاق - كشف حساب_ مشاريع تحت التنفيذ</dc:subject>
  <dc:creator>نطاق سوفت Nitaq Soft</dc:creator>
  <cp:keywords>nitaq,نطاق,alsultan,السلطان,report,التقارير,2025</cp:keywords>
  <dc:description>Generated Automatically By Nitaq ERP Systems By AL-SULTAN®</dc:description>
  <cp:lastModifiedBy>AHMED ALBRBRI</cp:lastModifiedBy>
  <dcterms:created xsi:type="dcterms:W3CDTF">2025-12-10T11:15:22Z</dcterms:created>
  <dcterms:modified xsi:type="dcterms:W3CDTF">2025-12-10T14:42:46Z</dcterms:modified>
  <cp:category>التقارير</cp:category>
  <cp:contentStatus>معتمد</cp:contentStatus>
</cp:coreProperties>
</file>