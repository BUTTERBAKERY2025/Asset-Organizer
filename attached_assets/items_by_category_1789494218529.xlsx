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لمنتجات opd\"/>
    </mc:Choice>
  </mc:AlternateContent>
  <bookViews>
    <workbookView xWindow="0" yWindow="0" windowWidth="21600" windowHeight="10305" tabRatio="500"/>
  </bookViews>
  <sheets>
    <sheet name="الأصناف" sheetId="6" r:id="rId1"/>
    <sheet name="Lists" sheetId="8" state="hidden" r:id="rId2"/>
  </sheets>
  <definedNames>
    <definedName name="Bakery">الأصناف!$D$3:$D$141</definedName>
    <definedName name="Barista">الأصناف!$B$3:$B$141</definedName>
    <definedName name="Bastery">الأصناف!$E$3:$E$141</definedName>
    <definedName name="Bizza">الأصناف!$C$3:$C$141</definedName>
    <definedName name="box_bb">الأصناف!$I$3:$I$141</definedName>
    <definedName name="Branches_List">Lists!$A$2:$A$14</definedName>
    <definedName name="Categories_List">Lists!$B$2:$B$10</definedName>
    <definedName name="Finish_bakery">الأصناف!$H$3:$H$141</definedName>
    <definedName name="Finish_item_bastry">الأصناف!$G$3:$G$141</definedName>
    <definedName name="Language_List">Lists!$E$2:$E$3</definedName>
    <definedName name="MonthOptions_List">Lists!$M$2:$M$38</definedName>
    <definedName name="MoveType_List">Lists!$D$2:$D$3</definedName>
    <definedName name="OtherBranches_List">Lists!$K$2:$K$14</definedName>
    <definedName name="packing_items">الأصناف!$A$3:$A$141</definedName>
    <definedName name="_xlnm.Print_Area" localSheetId="0">الأصناف!$A$1:$I$144</definedName>
    <definedName name="_xlnm.Print_Titles" localSheetId="0">الأصناف!$1:$2</definedName>
    <definedName name="Salad_and_sandwi">الأصناف!$F$3:$F$141</definedName>
    <definedName name="Units_List">Lists!$C$2:$C$5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8" l="1"/>
  <c r="J13" i="8"/>
  <c r="J12" i="8"/>
  <c r="J11" i="8"/>
  <c r="J10" i="8"/>
  <c r="J9" i="8"/>
  <c r="J8" i="8"/>
  <c r="J7" i="8"/>
  <c r="J6" i="8"/>
  <c r="J5" i="8"/>
  <c r="J4" i="8"/>
  <c r="J3" i="8"/>
  <c r="J2" i="8"/>
  <c r="K4" i="8" l="1"/>
  <c r="K5" i="8"/>
  <c r="K2" i="8"/>
  <c r="K12" i="8"/>
  <c r="K10" i="8"/>
  <c r="K11" i="8"/>
  <c r="K9" i="8"/>
  <c r="K8" i="8"/>
  <c r="K7" i="8"/>
  <c r="K6" i="8"/>
  <c r="K14" i="8"/>
  <c r="K3" i="8"/>
  <c r="K13" i="8"/>
</calcChain>
</file>

<file path=xl/sharedStrings.xml><?xml version="1.0" encoding="utf-8"?>
<sst xmlns="http://schemas.openxmlformats.org/spreadsheetml/2006/main" count="735" uniqueCount="611">
  <si>
    <t>فرع المطار</t>
  </si>
  <si>
    <t>العربية</t>
  </si>
  <si>
    <t>فرع الحزام</t>
  </si>
  <si>
    <t>فرع جازان</t>
  </si>
  <si>
    <t>فرع محايل</t>
  </si>
  <si>
    <t>فرع انس بن مالك</t>
  </si>
  <si>
    <t>فرع المستشفي العسكري</t>
  </si>
  <si>
    <t>فرع تبوك</t>
  </si>
  <si>
    <t>فرع المدينة المنورة</t>
  </si>
  <si>
    <t>فرع وزارة السياحة</t>
  </si>
  <si>
    <t>المستودع الرئيسي</t>
  </si>
  <si>
    <t>packing items</t>
  </si>
  <si>
    <t>Barista</t>
  </si>
  <si>
    <t>Bizza</t>
  </si>
  <si>
    <t>Bakery</t>
  </si>
  <si>
    <t>Bastery</t>
  </si>
  <si>
    <t>Salad and sandwi</t>
  </si>
  <si>
    <t>Finish item bastry</t>
  </si>
  <si>
    <t>Finish bakery</t>
  </si>
  <si>
    <t>box bb</t>
  </si>
  <si>
    <t>قائمة الأصناف حسب القسم — Item List by Category</t>
  </si>
  <si>
    <t>رول تغليف</t>
  </si>
  <si>
    <t>Condensed milk-حليب مكثف</t>
  </si>
  <si>
    <t>strained yougart-لبنة</t>
  </si>
  <si>
    <t>Philadelphia cheese-جبنة فيلادلفيا</t>
  </si>
  <si>
    <t>Mascarpone cheese-جبنة مسكربون</t>
  </si>
  <si>
    <t>Cheese Halloumi-جبنة حلوم</t>
  </si>
  <si>
    <t>B.B Cake- بى بى كيك</t>
  </si>
  <si>
    <t>رازبيرى بان سويس - RASPBERRY PAIN SWISS</t>
  </si>
  <si>
    <t>Mini honey cake box - بوكس مينى كيكة عسل</t>
  </si>
  <si>
    <t>منظف ماكينة صحون sd 13</t>
  </si>
  <si>
    <t>coconut milk-حليب جوز هند</t>
  </si>
  <si>
    <t>Parmesan cheese-جبنة برميزان-برميزان</t>
  </si>
  <si>
    <t>Cheese cheddar-جبنة شيدر</t>
  </si>
  <si>
    <t>جبنه فلادلفيا philadelphia cheese</t>
  </si>
  <si>
    <t>Tiramisu - تيرامسيو</t>
  </si>
  <si>
    <t>Pecan رول كروسون بيكان ROOL</t>
  </si>
  <si>
    <t>Box Mini Danish 12</t>
  </si>
  <si>
    <t>منظف ماكينة صحون sd12</t>
  </si>
  <si>
    <t>Milk long life-حليب طويل الاجل</t>
  </si>
  <si>
    <t>Feta cheese-جبنة فيتا</t>
  </si>
  <si>
    <t>Butter Anchor-زبدة انكور بلوك</t>
  </si>
  <si>
    <t>ايس كريم السعوديه</t>
  </si>
  <si>
    <t>French lemon cake - كيك ليمون فرنسى</t>
  </si>
  <si>
    <t>كرواسون جبنة و تركى - Cheese Ana turkey croissant</t>
  </si>
  <si>
    <t>Mini croissant box - بوكس مينى كرواسون</t>
  </si>
  <si>
    <t>Surface sterilizer SK3-معقم اسطح</t>
  </si>
  <si>
    <t>Full cream milk-حليب فرش</t>
  </si>
  <si>
    <t>Cheese Mozzarella-جبنة موتزريلا بلوك</t>
  </si>
  <si>
    <t>Cheese mira-جبنة ميرا</t>
  </si>
  <si>
    <t>milk- حليب</t>
  </si>
  <si>
    <t>Lemon Tart تارت ليمون</t>
  </si>
  <si>
    <t>خبز 🥖 براون bag</t>
  </si>
  <si>
    <t>Box Mini ciabatta</t>
  </si>
  <si>
    <t>Hand brush-فرشة يد</t>
  </si>
  <si>
    <t>حليب قليل الدسم / Low fat milk</t>
  </si>
  <si>
    <t>Cheese burrata-جبنة بوراتا</t>
  </si>
  <si>
    <t>جبنة بريدل</t>
  </si>
  <si>
    <t>vanilla sauce</t>
  </si>
  <si>
    <t>موز فرش</t>
  </si>
  <si>
    <t>Jacaranda cake</t>
  </si>
  <si>
    <t>DANISH PISTACHIO</t>
  </si>
  <si>
    <t>Croissant And Coffee Get Togethers</t>
  </si>
  <si>
    <t>Soap holder-حاوية صابون</t>
  </si>
  <si>
    <t>حليب خالي الدسم / Skim milk</t>
  </si>
  <si>
    <t>جبنة بوراتا مجمدة / frozen burrata cheese</t>
  </si>
  <si>
    <t>Milk powder-حليب بودرة</t>
  </si>
  <si>
    <t>chocolate beans white-شوكولاتة بيضاء حبوب</t>
  </si>
  <si>
    <t>Oreo chimney - تشيمنى أوريو</t>
  </si>
  <si>
    <t>DANISH BANANA</t>
  </si>
  <si>
    <t>بوكس مينى كرواسون حالى 4pcs</t>
  </si>
  <si>
    <t>Wiper plastic big-سحاب كبير</t>
  </si>
  <si>
    <t>حليب اللوز / Almond milk</t>
  </si>
  <si>
    <t>جبنة موتزريلا بافلو-mozzrella baflo</t>
  </si>
  <si>
    <t>Anchor powder milk-حليب بودرة</t>
  </si>
  <si>
    <t>-شوكولاتة حليب 45%-milk chocolate</t>
  </si>
  <si>
    <t>Crunchy Choclate - كرنشى تشوكلت</t>
  </si>
  <si>
    <t>Sourdough bread - ساوردو</t>
  </si>
  <si>
    <t>Box Mini Crosson 12</t>
  </si>
  <si>
    <t>Maxi roll-ماكسي</t>
  </si>
  <si>
    <t>syrup strawberry-سيرب فراولة</t>
  </si>
  <si>
    <t>Cream rama-كريمة راما</t>
  </si>
  <si>
    <t>-شوكولاتة داك 55%-chocolate dark</t>
  </si>
  <si>
    <t>جبنة ماعز-goat cheese</t>
  </si>
  <si>
    <t>choclate cookies - كوكيز شوكولاته</t>
  </si>
  <si>
    <t>ماري توزو Maritozzo</t>
  </si>
  <si>
    <t>Mini brownies box - مينى كيك براونى</t>
  </si>
  <si>
    <t>Mask-كمامات</t>
  </si>
  <si>
    <t>syrup peach-سيرب خوخ</t>
  </si>
  <si>
    <t>Chicken breast-صدور دجاج</t>
  </si>
  <si>
    <t>Coffee cream - كريمة القهوة</t>
  </si>
  <si>
    <t>قواعد بيبي 10 سم bb carton</t>
  </si>
  <si>
    <t>Plain smoked cheese-جبنة مدخن سادة</t>
  </si>
  <si>
    <t>Honey cake - كيك العسل ميجا</t>
  </si>
  <si>
    <t>FRUIT DANISH BASKET</t>
  </si>
  <si>
    <t>Box Mini Bun 12</t>
  </si>
  <si>
    <t>Metal sponge-سلك اسفننج</t>
  </si>
  <si>
    <t>syrup pomegranate-سيرب رمان</t>
  </si>
  <si>
    <t>Smoked turkey - Amricana-تركي مدخن</t>
  </si>
  <si>
    <t>Whipping cream Puratos-كريمة براتوس</t>
  </si>
  <si>
    <t>honey-عسل</t>
  </si>
  <si>
    <t>Premium Chocolate cake</t>
  </si>
  <si>
    <t>دانش شمر تشيز + الطماطم المجففة</t>
  </si>
  <si>
    <t>بوكس مينى دانش 3 PCs</t>
  </si>
  <si>
    <t>Vaccum floor care-مكنسة منظف</t>
  </si>
  <si>
    <t>lemon syrup-سيرب الليمون</t>
  </si>
  <si>
    <t>Rocola-جرجير</t>
  </si>
  <si>
    <t>Butter-زبده كراوسون</t>
  </si>
  <si>
    <t>Egg-بيض</t>
  </si>
  <si>
    <t>زبادى يونانى</t>
  </si>
  <si>
    <t>rocher-روشيه</t>
  </si>
  <si>
    <t>فلكي بان سويس - Flaky Pain Suisse</t>
  </si>
  <si>
    <t>Laundry water cart-عربة نظافة</t>
  </si>
  <si>
    <t>syrup mint-سيرب نعناع</t>
  </si>
  <si>
    <t>Red bell papper-فلفل رومي احمر</t>
  </si>
  <si>
    <t>Izani butter-زبدة ايزني</t>
  </si>
  <si>
    <t>Baking soda-بيكنج صودا</t>
  </si>
  <si>
    <t>Lemon slice cake - كيك ليمون سلايس</t>
  </si>
  <si>
    <t>French croissant pecan - كرواسون بيكان فرنسى</t>
  </si>
  <si>
    <t>Broom rydan-مكنسة ناعمة</t>
  </si>
  <si>
    <t>Hazelnut syrup- سيرب البندق</t>
  </si>
  <si>
    <t>Yellow bell papper-فلفل رومى اصفر</t>
  </si>
  <si>
    <t>Oil-زيت</t>
  </si>
  <si>
    <t>Red velvet كيك ريد فالفت</t>
  </si>
  <si>
    <t>London Donut peacan - لندن دونت بيكان</t>
  </si>
  <si>
    <t>Dish sponge-اسفننج لتنطيف</t>
  </si>
  <si>
    <t>syrup caramel-سيرب كراميل</t>
  </si>
  <si>
    <t>Green bell papper-فلفل رومى اخضر</t>
  </si>
  <si>
    <t>Baking powder-بيكنج بودر</t>
  </si>
  <si>
    <t>تارت مكس بيرى-Mix berry tart</t>
  </si>
  <si>
    <t>كرواسون جبنة - Cheese Croissant</t>
  </si>
  <si>
    <t>Plastic bibs-مريول بلاستيك</t>
  </si>
  <si>
    <t>Vanilla syrup-سيرب فانيليا</t>
  </si>
  <si>
    <t>Mushroom-مشروم</t>
  </si>
  <si>
    <t>Pecan nuts-جوز البيكان</t>
  </si>
  <si>
    <t>Beef pepporni-ببرونى</t>
  </si>
  <si>
    <t>Crem Brulee Cheese cake-كريم بروليه تشيز كيك</t>
  </si>
  <si>
    <t>خبز الشيباتا الإيطالي | 3 Italian Ciabatta pcs</t>
  </si>
  <si>
    <t>Glass cleaner 750 ml-منظف زجاج</t>
  </si>
  <si>
    <t>Smoothie strawberry-سموزى فراولة</t>
  </si>
  <si>
    <t>lettuce-خس لولو</t>
  </si>
  <si>
    <t>Peeled Pistachio-فستق</t>
  </si>
  <si>
    <t>Cinnamon powder-قرفة مطحونة</t>
  </si>
  <si>
    <t>روست بيف-rost beef</t>
  </si>
  <si>
    <t>Mix berry Chimney- مكس بيرى</t>
  </si>
  <si>
    <t>CHOCO BROWNIE SWISS - شوكو براونى سويس</t>
  </si>
  <si>
    <t>ورق تاريخ صلاحية</t>
  </si>
  <si>
    <t>Smoothie blue berry-سموزي بلوبيرى</t>
  </si>
  <si>
    <t>Kenya thyme-زعتر فرش</t>
  </si>
  <si>
    <t>Sliced almond-لوز شرائح</t>
  </si>
  <si>
    <t>غاز باشبورى</t>
  </si>
  <si>
    <t>Tuna-تونة</t>
  </si>
  <si>
    <t>Cake 160</t>
  </si>
  <si>
    <t>Almond croissant - كرواسون اللوز</t>
  </si>
  <si>
    <t>Glass cleaner-منظف زجاج</t>
  </si>
  <si>
    <t>Smoothie peach-سموزي خوخ</t>
  </si>
  <si>
    <t>Red onion-بصل احمر</t>
  </si>
  <si>
    <t>Almond powder-لوز بودرة</t>
  </si>
  <si>
    <t>Nescafe-نسكافيه</t>
  </si>
  <si>
    <t>smoked salmon-سالمون مدخنن</t>
  </si>
  <si>
    <t>Choclate Matilda</t>
  </si>
  <si>
    <t>خبز السميط التركي |3 Turkish Simit pcs</t>
  </si>
  <si>
    <t>Insecticide-مبيد حشرات</t>
  </si>
  <si>
    <t>Passion Fruit Smoothie-سموزي باشن فروت</t>
  </si>
  <si>
    <t>Basil-ريحان</t>
  </si>
  <si>
    <t>Almond seeds-لوز حب</t>
  </si>
  <si>
    <t>-نشأ بودرة cornstrash</t>
  </si>
  <si>
    <t>Chocolate layer cake</t>
  </si>
  <si>
    <t>Custar roll- كاسترد كوكنت روول</t>
  </si>
  <si>
    <t>Air Freshener-معطر جو</t>
  </si>
  <si>
    <t>Mix berry smoothie-سموزي ميكس بيرى</t>
  </si>
  <si>
    <t>Rose merry-روز ميري</t>
  </si>
  <si>
    <t>Sugar-سكر ناعم</t>
  </si>
  <si>
    <t>Crushed redpepper-فلفل احمر مجروش</t>
  </si>
  <si>
    <t>san Sebastian cake - كيك سان سابستيان</t>
  </si>
  <si>
    <t>Croissant Chocolate - كرواسون شوكولاته</t>
  </si>
  <si>
    <t>Canvas Mob cloth-مساحة موب قماش</t>
  </si>
  <si>
    <t>بن برازيلي-BUN BRAZIL</t>
  </si>
  <si>
    <t>Lemon-ليمون</t>
  </si>
  <si>
    <t>Black seeds-حبة البركة</t>
  </si>
  <si>
    <t>Nutella-نوتيلا</t>
  </si>
  <si>
    <t>Cumin Powder-كمون بودر</t>
  </si>
  <si>
    <t>Summer cake</t>
  </si>
  <si>
    <t>Danish French Cream - دانش كريمة فرنسية</t>
  </si>
  <si>
    <t>Flat cotton mob-مساحة قطن</t>
  </si>
  <si>
    <t>Ben columbian-بن كولومبى</t>
  </si>
  <si>
    <t>جرجير بيبى روكولا / Baby arugula</t>
  </si>
  <si>
    <t>sesame-سمسم</t>
  </si>
  <si>
    <t>Gelatin powder-جيلاتين بودر</t>
  </si>
  <si>
    <t>White pepper powder-فلفل ابيض مطحون</t>
  </si>
  <si>
    <t>مدريد تشيز كيك تشوكلت - Madrid Cheescake Chocolate</t>
  </si>
  <si>
    <t>خبز الكرواسون برد | 3pcs Croissant Bread</t>
  </si>
  <si>
    <t>Butter bakery tissue-مناديل عملاء</t>
  </si>
  <si>
    <t>Ben salvador-بن سلفادور</t>
  </si>
  <si>
    <t>Cherry tomatoes-طماطم شيري</t>
  </si>
  <si>
    <t>Sugar Icing Bake mate-سكر بودرة</t>
  </si>
  <si>
    <t>Red pepper powder-فلفل احمر بودر</t>
  </si>
  <si>
    <t>French orange cake - كيك برتقال فرنسى</t>
  </si>
  <si>
    <t>Thyme croissant - كرواسون زعتر</t>
  </si>
  <si>
    <t>Forni cleaner-منظف افران (sk 2)</t>
  </si>
  <si>
    <t>بن كولومبي كاوكا / Ben Colombian Cauca</t>
  </si>
  <si>
    <t>Peacn sauce-حشوة بيكان</t>
  </si>
  <si>
    <t>صوص بيستاشيو pistachio sauce</t>
  </si>
  <si>
    <t>Black pepper-فلفل اسود</t>
  </si>
  <si>
    <t>Caramelito -كرامليتو</t>
  </si>
  <si>
    <t>Matilda Croissant Nutella</t>
  </si>
  <si>
    <t>Butter bakery wipes-مناديل مبلله</t>
  </si>
  <si>
    <t>Delma red tea-شاى احمر ديلما</t>
  </si>
  <si>
    <t>Brown sugar-سكر بني</t>
  </si>
  <si>
    <t>Garlic powder-بدرة ثوم</t>
  </si>
  <si>
    <t>Mango Dome</t>
  </si>
  <si>
    <t>خبز الفوكاتشيا - Focaccia bread</t>
  </si>
  <si>
    <t>Gloves-قفازات</t>
  </si>
  <si>
    <t>GREEN TEA - شاى أخضر</t>
  </si>
  <si>
    <t>Yeast-خميرة بودر</t>
  </si>
  <si>
    <t>Flour T45-طحين t45</t>
  </si>
  <si>
    <t>Onion powder-بدرة بصل</t>
  </si>
  <si>
    <t>orange slice cake - كيك برتقال سلايس</t>
  </si>
  <si>
    <t>دانش التين - Fig Danish</t>
  </si>
  <si>
    <t>Garbage bag galoon 70-كيس بلدية</t>
  </si>
  <si>
    <t>Roselle-كركديه</t>
  </si>
  <si>
    <t>Chocolate stick 44 %-اصابع شوكولاتة</t>
  </si>
  <si>
    <t>cocoa butter-زبدة كاكاو</t>
  </si>
  <si>
    <t>Salt-ملح</t>
  </si>
  <si>
    <t>مدريد تشيز كيك بيكان - Madrid cheesecakepecan</t>
  </si>
  <si>
    <t>MUFFIN</t>
  </si>
  <si>
    <t>Autocut tissue-مناديل اوتوكت</t>
  </si>
  <si>
    <t>Matcha powder-ماتشا</t>
  </si>
  <si>
    <t>barbecue sauce-باربيكيو</t>
  </si>
  <si>
    <t>Salted caramel filling-حشوة كراميل براتوس</t>
  </si>
  <si>
    <t>Thyme origano-ورق زعتر اوريجانو</t>
  </si>
  <si>
    <t>Chimney red ice cream - تشيمنى أيس كريم</t>
  </si>
  <si>
    <t>Brioche bread - خبز بريوش</t>
  </si>
  <si>
    <t>Hair net-غطاء رأس</t>
  </si>
  <si>
    <t>Hot chocolate-هوت شوكلت</t>
  </si>
  <si>
    <t>Olive oil-زيت الزيتون</t>
  </si>
  <si>
    <t>Milk chocolate block-شوكولاتة بلوك حليب</t>
  </si>
  <si>
    <t>Digestive biscuit 400 grm-بسكويت دايجيستف</t>
  </si>
  <si>
    <t>Red Quinoa-كينوا حمراء</t>
  </si>
  <si>
    <t>ميني ماتيلدا كروسون</t>
  </si>
  <si>
    <t>Garbage bag 55 Gallon-كيس بلدية</t>
  </si>
  <si>
    <t>Puratos glaze-ملمع براتوس</t>
  </si>
  <si>
    <t>Dawn chocolate/داون شوكولاتة</t>
  </si>
  <si>
    <t>Cajun spices-بهارات الكاجون</t>
  </si>
  <si>
    <t>Danish bun halomy - دانش بن حلومى</t>
  </si>
  <si>
    <t>Wiper-مساحة بلاستيك</t>
  </si>
  <si>
    <t>Butter bakery envelope sugar-سكر ظرف بتر بيكرى</t>
  </si>
  <si>
    <t>Tomato sauce-صوص طماطم</t>
  </si>
  <si>
    <t>قواعد مستطيل سان carton sain</t>
  </si>
  <si>
    <t>Quino-كينوا</t>
  </si>
  <si>
    <t>plain croissant - كرواسون سادة</t>
  </si>
  <si>
    <t>Mob-موب</t>
  </si>
  <si>
    <t>شوكولاتة امبير / Amber Chocolate</t>
  </si>
  <si>
    <t>Mustard-مستردة</t>
  </si>
  <si>
    <t>Pistachio Filling-حشوة بستاشيو</t>
  </si>
  <si>
    <t>كريمة يلفير-ellevir cream</t>
  </si>
  <si>
    <t>Ginger powder-زنجبيل مطحون</t>
  </si>
  <si>
    <t>دانيش دقة - Danish Douqqa</t>
  </si>
  <si>
    <t>Floor cleaner-منظف ارضيات</t>
  </si>
  <si>
    <t>شوكولاتة كامرون 45% / Cameron chocolate 45%</t>
  </si>
  <si>
    <t>Custord-كاسترد</t>
  </si>
  <si>
    <t>vanilla صوص- فانيليا</t>
  </si>
  <si>
    <t>Paprika-بابريكا</t>
  </si>
  <si>
    <t>Danish pesto-دانش بيستو</t>
  </si>
  <si>
    <t>Oven cleaner-منظف افران</t>
  </si>
  <si>
    <t>شوكولاتة 5X / 5X chocolate</t>
  </si>
  <si>
    <t>Improver K2-محسن خبز (k2)</t>
  </si>
  <si>
    <t>Red berry-توت احمر</t>
  </si>
  <si>
    <t>Sumac-سماق</t>
  </si>
  <si>
    <t>London donut thyme - لندن دونت زعتر</t>
  </si>
  <si>
    <t>Hand wash-صابون يد</t>
  </si>
  <si>
    <t>Water berain -مياه</t>
  </si>
  <si>
    <t>Black berry-توت اسود</t>
  </si>
  <si>
    <t>بذور الشيا/Chia seeds</t>
  </si>
  <si>
    <t>كوكيز كرواسون - cookies croissant</t>
  </si>
  <si>
    <t>Soap utensils-صابون اوانى</t>
  </si>
  <si>
    <t>7 up-سفن اب</t>
  </si>
  <si>
    <t>Truffle sauce-صلصة الكمأة السوداء</t>
  </si>
  <si>
    <t>حشوة بسكويت / biscuit filling</t>
  </si>
  <si>
    <t>توت ازرق blue berry</t>
  </si>
  <si>
    <t>زعتر فلسطينى</t>
  </si>
  <si>
    <t>لندن تشيز بن - London Cheese Bun</t>
  </si>
  <si>
    <t>ورق زبدة مطبوع 32*20 / Printed parchment paper</t>
  </si>
  <si>
    <t>Orange-برتقال</t>
  </si>
  <si>
    <t>حشوة شوكولاتة بيضاء مع لوز وجوز هند / White chocolate filling with almonds and coconut</t>
  </si>
  <si>
    <t>Fondant cream bag 9X 19-كيس تزيين</t>
  </si>
  <si>
    <t>pistachio croissant - كرواسون فستق</t>
  </si>
  <si>
    <t>ورق زبدة مطبوع 42*32 / Printed parchment paper</t>
  </si>
  <si>
    <t>حشوة جاندويا / Ganduya filling</t>
  </si>
  <si>
    <t>بلاستيك بي بي مقاس 5 سم plastique bb</t>
  </si>
  <si>
    <t>روستد بيف مع جبنة و زيتون - Roasted beef cheese,olive</t>
  </si>
  <si>
    <t>كيس ورق مخبوزات كرواسون / croissant bakery paper bag</t>
  </si>
  <si>
    <t>Red berry filling-حشوة التوت الاحمر</t>
  </si>
  <si>
    <t>بسكوت ليدي فينغرز</t>
  </si>
  <si>
    <t>Nutella roll-نوتيلا رول</t>
  </si>
  <si>
    <t>أكياس ورقي برتقالي 37*9 / Orange paper bags</t>
  </si>
  <si>
    <t>Mint Fresh-نعناع فرش</t>
  </si>
  <si>
    <t>Thyme powder-زعتر بودر</t>
  </si>
  <si>
    <t>White peeled hazelnut-بندق</t>
  </si>
  <si>
    <t>حليب milk</t>
  </si>
  <si>
    <t>دانش تيراميسو - Tiramisue Bun</t>
  </si>
  <si>
    <t>بوكس صغير كيك اكلير / Small box of eclair cake</t>
  </si>
  <si>
    <t>Caputo red flour-طحين كابوتو احمر</t>
  </si>
  <si>
    <t>Blue berry filling-حشوة البلوبيرى</t>
  </si>
  <si>
    <t>فيوتين feulltine</t>
  </si>
  <si>
    <t>بوكس صغير ماستر واحد قطعه 15.5*6.5 / Small Master Box One Piece</t>
  </si>
  <si>
    <t>4 Oz paper cup BB-اكواب 4 اونص</t>
  </si>
  <si>
    <t>Thick vinegar-خل بالسميك</t>
  </si>
  <si>
    <t>بيكان صوص pecan sause</t>
  </si>
  <si>
    <t>بوكس ماستر 3/2 قطع 20*8.5 / Box Master 3/2 pieces</t>
  </si>
  <si>
    <t>9 Oz Paper cup BB -اكواب 9 اونص</t>
  </si>
  <si>
    <t>Kalamata olive-زيتون كلاماتا</t>
  </si>
  <si>
    <t>Black weat flour-خليط الخبز الاسود</t>
  </si>
  <si>
    <t>قواعد مستطيلة</t>
  </si>
  <si>
    <t>Dried Fig-تين مجفف</t>
  </si>
  <si>
    <t>بوكس وسط برتقالي 24*11 / Orange medium box</t>
  </si>
  <si>
    <t>12 Oz plastic cup BB-اكواب بلاستيك 12 اونص</t>
  </si>
  <si>
    <t>ورق زبدة بني</t>
  </si>
  <si>
    <t>بوكس كبير مختلط برتقالي / Large mixed orange box 30*12</t>
  </si>
  <si>
    <t>Cup holder 2 holes-حامل 2 كوب</t>
  </si>
  <si>
    <t>زيت</t>
  </si>
  <si>
    <t>علب كيك مستطيلة بستري برتقالي (270*205*60)/Rectangular cake boxes with orange pastry</t>
  </si>
  <si>
    <t>Cup holder 4 holes-حامل 4 كوب</t>
  </si>
  <si>
    <t>علب صوص plastique sauce</t>
  </si>
  <si>
    <t>صلصة سيراتشا / Sriracha sauce</t>
  </si>
  <si>
    <t>علب كيك صغيرة (200*110*70)/ Orange mini cake boxes</t>
  </si>
  <si>
    <t>Tea stirer-محرك شاى</t>
  </si>
  <si>
    <t>Pomegranate molasses-دبس رمان</t>
  </si>
  <si>
    <t>almonde powder \ لوز بودرة</t>
  </si>
  <si>
    <t>صلصة الهولندا / Hollandaise sauce</t>
  </si>
  <si>
    <t>علب درج صغير برتقالي(120*75)/ Orange mini drawer boxes</t>
  </si>
  <si>
    <t>Paper cup 7 Oz- اكواب 7 اونص</t>
  </si>
  <si>
    <t>Semolina-سميد ناعم دبى</t>
  </si>
  <si>
    <t>Chocolate barry milk 35 %-شوكولاتة بارى حليب 35%</t>
  </si>
  <si>
    <t>بخاخ زبده butter spray</t>
  </si>
  <si>
    <t>علب كيك 45*65-box cake</t>
  </si>
  <si>
    <t>Straw-مصاص</t>
  </si>
  <si>
    <t>raspberry sauce</t>
  </si>
  <si>
    <t>Glass bottle 200ml-قارورة زجاج</t>
  </si>
  <si>
    <t>filter V60-فلتر v60</t>
  </si>
  <si>
    <t>Italian coffee fugar-قهوة فيجار ايطالى</t>
  </si>
  <si>
    <t>Adhesive bag 9 X19-اكياس لاصق</t>
  </si>
  <si>
    <t>دقيق سيمولينا / Semolina flour</t>
  </si>
  <si>
    <t>Italian vanilla fugar-فانيليا فيجار ايطالى</t>
  </si>
  <si>
    <t>Mayonnaise-مايونيز</t>
  </si>
  <si>
    <t>معطر ارضيات</t>
  </si>
  <si>
    <t>Coffee day filter size 13-فلتر كوفى داى مقاس 13</t>
  </si>
  <si>
    <t>Butter spray-بخاخ زبدة</t>
  </si>
  <si>
    <t>Creamy Manyonnaise- مايونيز نباتي كريمي</t>
  </si>
  <si>
    <t>Aluminum foil-ورق المونيوم</t>
  </si>
  <si>
    <t>كاب هولدر 2 فتحة / 2 slot cap holder</t>
  </si>
  <si>
    <t>Sliced olive oil-زيتون اسود شرائح</t>
  </si>
  <si>
    <t>Cold jelly-جيلي بارد</t>
  </si>
  <si>
    <t>Grape Venigar-خل عنب</t>
  </si>
  <si>
    <t>Croissant bag 25×7-كيس كروسون</t>
  </si>
  <si>
    <t>اكواب 12 اونص ورقي بيج / 12 oz paper cups beige</t>
  </si>
  <si>
    <t>Fresh peeled garlic- ثوم مقشر جاهز فرش</t>
  </si>
  <si>
    <t>Kraft bread-كرافت خبز</t>
  </si>
  <si>
    <t>طماطم مجففة-SUNDRIED TOMATOS</t>
  </si>
  <si>
    <t>Small Dish paper-ورق صحون</t>
  </si>
  <si>
    <t>اكواب 9 اونص ورقي بيج / 9 oz paper cups beige</t>
  </si>
  <si>
    <t>Pizza Box-علب بيتزا</t>
  </si>
  <si>
    <t>Cold jelly bucket-جيلى بارد</t>
  </si>
  <si>
    <t>Pine apple slices-اناناس معلب</t>
  </si>
  <si>
    <t>Bar paper-ورق بار</t>
  </si>
  <si>
    <t>اكواب 9 اونص ورقي اصفر / 9 oz paper cups</t>
  </si>
  <si>
    <t>chocolate bilcolad-شوكولاتة بيلكولاد اسود</t>
  </si>
  <si>
    <t>-خل</t>
  </si>
  <si>
    <t>Brioche bag-كيس بريوش</t>
  </si>
  <si>
    <t>اكواب 12 اونص ورقي برتقالي / 12 oz orange paper cups</t>
  </si>
  <si>
    <t>French fusion-فيوتين فرنسى</t>
  </si>
  <si>
    <t>فاصوليا حمراء-Red beans</t>
  </si>
  <si>
    <t>Begel box 13 X13-علب بيجل</t>
  </si>
  <si>
    <t>ماسكة اكواب / Cup holder</t>
  </si>
  <si>
    <t>اسطوانة غاز</t>
  </si>
  <si>
    <t>منظف فرن اونكس</t>
  </si>
  <si>
    <t>اكواب 12اونص بلاستيك *الصين */ 12 oz plastic cups</t>
  </si>
  <si>
    <t>Butter spray-بخاخ زبدة براتوس</t>
  </si>
  <si>
    <t>Green jalapeno pepper-فلفل جلابينو اخضر</t>
  </si>
  <si>
    <t>Cake box 20 x 14-</t>
  </si>
  <si>
    <t>غطاء اكواب 14 اونص بلاستيك / 14 oz plastic cup lid</t>
  </si>
  <si>
    <t>Fig Jam-مربى تين</t>
  </si>
  <si>
    <t>Plastic knife-سكين</t>
  </si>
  <si>
    <t>غطاء اكواب 12و9 اونص بلاستيك / 12 and 9 oz plastic cup lids</t>
  </si>
  <si>
    <t>sweet corn فريش -سويت كورن</t>
  </si>
  <si>
    <t>Adhesive bag 13 X 16-اكياس لاصق</t>
  </si>
  <si>
    <t>Coffee machine Detergent-بودرة تنظيف مكينة قهوة</t>
  </si>
  <si>
    <t>نوتيلا توزيعات / Nutella distributions</t>
  </si>
  <si>
    <t>Cucumber pickle-مخلل خيار شرائح</t>
  </si>
  <si>
    <t>Adhesive bag 12 X 8-اكياس لاصق</t>
  </si>
  <si>
    <t>Coffee machine liquid-سائل منظف ماكينة قهوة</t>
  </si>
  <si>
    <t>عسل توزيعات / Honey distributions</t>
  </si>
  <si>
    <t>Butter paper 40 X 60-ورق زبدة</t>
  </si>
  <si>
    <t>Tissue roll high quality-رول تنشيف</t>
  </si>
  <si>
    <t>مربي توت توزيعات / Berry Breeder Distributions</t>
  </si>
  <si>
    <t>كمثرى معلبة/Canned pear</t>
  </si>
  <si>
    <t>Cake box 30 X 30-علب كيك 30*30</t>
  </si>
  <si>
    <t>ميا غازية</t>
  </si>
  <si>
    <t>زبدة توزيعات / Butter distributions</t>
  </si>
  <si>
    <t>صنوبر-Pine</t>
  </si>
  <si>
    <t>Cardboard bag-شنط كرتون</t>
  </si>
  <si>
    <t>بن اثيوبي</t>
  </si>
  <si>
    <t>حبوب شمر</t>
  </si>
  <si>
    <t>جرانولا</t>
  </si>
  <si>
    <t>Plastic forks-شوك بلاستيك</t>
  </si>
  <si>
    <t>طلقات غاز</t>
  </si>
  <si>
    <t>Kiwi-كيوي</t>
  </si>
  <si>
    <t>ذره حب فرشلى</t>
  </si>
  <si>
    <t>Cartoon bag-شنط كرتون</t>
  </si>
  <si>
    <t>بوكسات قهوه</t>
  </si>
  <si>
    <t>مدخنة Nocciolata- ايريكا</t>
  </si>
  <si>
    <t>Logo sticker-استيكر</t>
  </si>
  <si>
    <t>بن اثيوبي شلشلي</t>
  </si>
  <si>
    <t>Green apple-تفاح اخضر</t>
  </si>
  <si>
    <t>Bag-شنط سفرى</t>
  </si>
  <si>
    <t>ورق تنظيف رول ازرق</t>
  </si>
  <si>
    <t>Blueberry-توت ازرق</t>
  </si>
  <si>
    <t>Avacado-افوكادو</t>
  </si>
  <si>
    <t>Printed paper-ورق تريه</t>
  </si>
  <si>
    <t>بن يمني</t>
  </si>
  <si>
    <t>cashier roll-رول كاشير</t>
  </si>
  <si>
    <t>ويب كريب</t>
  </si>
  <si>
    <t>رول شبكه</t>
  </si>
  <si>
    <t>صوص وايت شوكلت</t>
  </si>
  <si>
    <t>Strawberry-فراولة</t>
  </si>
  <si>
    <t>بوكس بسترى كيكة عسل</t>
  </si>
  <si>
    <t>قرفه</t>
  </si>
  <si>
    <t>Fresh fig-تين فريش</t>
  </si>
  <si>
    <t>بوكس التوأم الصغير</t>
  </si>
  <si>
    <t>نعناع</t>
  </si>
  <si>
    <t>Red current-ريد كرنت</t>
  </si>
  <si>
    <t>طقم شوكة و سكين</t>
  </si>
  <si>
    <t>كريمة</t>
  </si>
  <si>
    <t>Wrapping roll-رول تغليف</t>
  </si>
  <si>
    <t>Carrot-جزر</t>
  </si>
  <si>
    <t>شوك بستر ي مغلف</t>
  </si>
  <si>
    <t>Brioche bag-كيس بريوش كبير</t>
  </si>
  <si>
    <t>Hot red pepper-فلفل احمر حار</t>
  </si>
  <si>
    <t>Muffin paper-ورق مافن</t>
  </si>
  <si>
    <t>Unox clean-منظف فرن اونكس</t>
  </si>
  <si>
    <t>روسيا ميكس</t>
  </si>
  <si>
    <t>اكياس خبز</t>
  </si>
  <si>
    <t>طماطم شيرى</t>
  </si>
  <si>
    <t>جبنه بارميزان</t>
  </si>
  <si>
    <t>وايت شوكلت بلوك</t>
  </si>
  <si>
    <t>Down chocolate/داون شوكولاتة</t>
  </si>
  <si>
    <t>Hotdog-هوت دوج</t>
  </si>
  <si>
    <t>عجين دوبريه</t>
  </si>
  <si>
    <t>Potato-بطاطس</t>
  </si>
  <si>
    <t>علب صوص 200 مللى</t>
  </si>
  <si>
    <t>Parsley-بقدونس</t>
  </si>
  <si>
    <t>طحين راى</t>
  </si>
  <si>
    <t>Grapes-عنب فريش</t>
  </si>
  <si>
    <t>مسمر خبز</t>
  </si>
  <si>
    <t>Fresh Mango-مانجو - فرش</t>
  </si>
  <si>
    <t>مانجو MANGO</t>
  </si>
  <si>
    <t>Spinach- سبانخ</t>
  </si>
  <si>
    <t>glaice</t>
  </si>
  <si>
    <t>خوخ فرش/peach</t>
  </si>
  <si>
    <t>feta chessh</t>
  </si>
  <si>
    <t>Fresgh Pomegranate- رمان فرش</t>
  </si>
  <si>
    <t>Fresh water melon-بطيخ فرش</t>
  </si>
  <si>
    <t>شوكولاته بلوك ابيض</t>
  </si>
  <si>
    <t>كيل فريش / Kale Fresh</t>
  </si>
  <si>
    <t>what chokolet</t>
  </si>
  <si>
    <t>WHAT SEM SEM</t>
  </si>
  <si>
    <t>ceylon olive</t>
  </si>
  <si>
    <t>Cartoon salad box-علب سلطة كرتون</t>
  </si>
  <si>
    <t>paipin bag</t>
  </si>
  <si>
    <t>mix sid</t>
  </si>
  <si>
    <t>B LACK SEM SEM</t>
  </si>
  <si>
    <t>MUSAMMEL</t>
  </si>
  <si>
    <t>RAY FLOWER</t>
  </si>
  <si>
    <t>لإضافة صنف جديد لأي قسم: اكتب اسمه في أول خلية فارغة (بخلفية فاتحة) أسفل نفس عمود القسم، وسيظهر تلقائيًا في القائمة المنسدلة للمنتج وفي التقرير الشهري دون أي تعديل آخر. / To add a new item to any category: type its name in the first empty (light-shaded) cell below that category's column — it will appear automatically in the product dropdown and the monthly report with no other changes needed.</t>
  </si>
  <si>
    <t>الفروع</t>
  </si>
  <si>
    <t>الأقسام</t>
  </si>
  <si>
    <t>الوحدة</t>
  </si>
  <si>
    <t>نوع الحركة</t>
  </si>
  <si>
    <t>اللغة</t>
  </si>
  <si>
    <t>Key</t>
  </si>
  <si>
    <t>عربي</t>
  </si>
  <si>
    <t>English</t>
  </si>
  <si>
    <t>كيلو</t>
  </si>
  <si>
    <t>وارد</t>
  </si>
  <si>
    <t>Date</t>
  </si>
  <si>
    <t>التاريخ</t>
  </si>
  <si>
    <t>جرام</t>
  </si>
  <si>
    <t>محول</t>
  </si>
  <si>
    <t>MoveType</t>
  </si>
  <si>
    <t>Movement Type</t>
  </si>
  <si>
    <t>لتر</t>
  </si>
  <si>
    <t>Category</t>
  </si>
  <si>
    <t>القسم</t>
  </si>
  <si>
    <t>عدد</t>
  </si>
  <si>
    <t>Item</t>
  </si>
  <si>
    <t>المنتج</t>
  </si>
  <si>
    <t>Qty</t>
  </si>
  <si>
    <t>الكمية</t>
  </si>
  <si>
    <t>Quantity</t>
  </si>
  <si>
    <t>Unit</t>
  </si>
  <si>
    <t>OtherBranch</t>
  </si>
  <si>
    <r>
      <rPr>
        <sz val="11"/>
        <color theme="1"/>
        <rFont val="FreeSans"/>
        <family val="2"/>
      </rPr>
      <t xml:space="preserve">الفرع الآخر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 xml:space="preserve">مستلم منه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>محوّل إليه</t>
    </r>
    <r>
      <rPr>
        <sz val="11"/>
        <color theme="1"/>
        <rFont val="Calibri"/>
        <family val="2"/>
        <charset val="1"/>
      </rPr>
      <t>)</t>
    </r>
  </si>
  <si>
    <t>Other Branch (From / To)</t>
  </si>
  <si>
    <t>OwnerBranch</t>
  </si>
  <si>
    <t>الفرع صاحب السجل</t>
  </si>
  <si>
    <t>Branch</t>
  </si>
  <si>
    <t>Month</t>
  </si>
  <si>
    <t>الشهر</t>
  </si>
  <si>
    <t>DataLogTitle</t>
  </si>
  <si>
    <r>
      <rPr>
        <sz val="11"/>
        <color theme="1"/>
        <rFont val="FreeSans"/>
        <family val="2"/>
      </rPr>
      <t xml:space="preserve">سجل حركة المخزون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>وارد ومحوّل</t>
    </r>
  </si>
  <si>
    <t>Inventory Movement Log - Received &amp; Transferred</t>
  </si>
  <si>
    <r>
      <rPr>
        <sz val="11"/>
        <color theme="1"/>
        <rFont val="FreeSans"/>
        <family val="2"/>
      </rPr>
      <t xml:space="preserve">فرع </t>
    </r>
    <r>
      <rPr>
        <sz val="11"/>
        <color theme="1"/>
        <rFont val="Calibri"/>
        <family val="2"/>
        <charset val="1"/>
      </rPr>
      <t>10</t>
    </r>
  </si>
  <si>
    <t>SummaryTitle</t>
  </si>
  <si>
    <t>التقرير الشهري المجمّع</t>
  </si>
  <si>
    <t>Monthly Summary Report</t>
  </si>
  <si>
    <r>
      <rPr>
        <sz val="11"/>
        <color theme="1"/>
        <rFont val="FreeSans"/>
        <family val="2"/>
      </rPr>
      <t xml:space="preserve">فرع </t>
    </r>
    <r>
      <rPr>
        <sz val="11"/>
        <color theme="1"/>
        <rFont val="Calibri"/>
        <family val="2"/>
        <charset val="1"/>
      </rPr>
      <t>11</t>
    </r>
  </si>
  <si>
    <t>IncomingTitle</t>
  </si>
  <si>
    <t>الوارد إلى الفرع من الفروع الأخرى</t>
  </si>
  <si>
    <t>Incoming to Branch from Other Branches</t>
  </si>
  <si>
    <r>
      <rPr>
        <sz val="11"/>
        <color theme="1"/>
        <rFont val="FreeSans"/>
        <family val="2"/>
      </rPr>
      <t xml:space="preserve">فرع </t>
    </r>
    <r>
      <rPr>
        <sz val="11"/>
        <color theme="1"/>
        <rFont val="Calibri"/>
        <family val="2"/>
        <charset val="1"/>
      </rPr>
      <t>12</t>
    </r>
  </si>
  <si>
    <t>OutgoingTitle</t>
  </si>
  <si>
    <t>المحوّل من الفرع إلى الفروع الأخرى</t>
  </si>
  <si>
    <t>Transferred from Branch to Other Branches</t>
  </si>
  <si>
    <t>BranchCol</t>
  </si>
  <si>
    <t>الفرع</t>
  </si>
  <si>
    <t>KgCol</t>
  </si>
  <si>
    <t>Kg</t>
  </si>
  <si>
    <t>GramCol</t>
  </si>
  <si>
    <t>Gram</t>
  </si>
  <si>
    <t>LiterCol</t>
  </si>
  <si>
    <t>Liter</t>
  </si>
  <si>
    <t>CountCol</t>
  </si>
  <si>
    <t>Count</t>
  </si>
  <si>
    <t>TransCountCol</t>
  </si>
  <si>
    <t>عدد الحركات</t>
  </si>
  <si>
    <t>Transactions</t>
  </si>
  <si>
    <t>TotalRow</t>
  </si>
  <si>
    <t>الإجمالي الكلي</t>
  </si>
  <si>
    <t>Grand Total</t>
  </si>
  <si>
    <t>MonthSelectLabel</t>
  </si>
  <si>
    <r>
      <rPr>
        <sz val="11"/>
        <color theme="1"/>
        <rFont val="FreeSans"/>
        <family val="2"/>
      </rPr>
      <t xml:space="preserve">اختر الشهر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مثال</t>
    </r>
    <r>
      <rPr>
        <sz val="11"/>
        <color theme="1"/>
        <rFont val="Calibri"/>
        <family val="2"/>
        <charset val="1"/>
      </rPr>
      <t>: 2026-08)</t>
    </r>
  </si>
  <si>
    <t>Select Month (e.g. 2026-08)</t>
  </si>
  <si>
    <t>DashboardTitle</t>
  </si>
  <si>
    <t>لوحة معلومات بتر بيكري</t>
  </si>
  <si>
    <t>Butter Bakery Dashboard</t>
  </si>
  <si>
    <t>BranchLabel</t>
  </si>
  <si>
    <t>اسم الفرع</t>
  </si>
  <si>
    <t>Branch Name</t>
  </si>
  <si>
    <t>LanguageLabel</t>
  </si>
  <si>
    <t>Language</t>
  </si>
  <si>
    <t>SettingsTitle</t>
  </si>
  <si>
    <t>إعدادات الفرع</t>
  </si>
  <si>
    <t>Branch Settings</t>
  </si>
  <si>
    <t>IncomingChart</t>
  </si>
  <si>
    <t>إجمالي الوارد حسب الوحدة</t>
  </si>
  <si>
    <t>Total Incoming by Unit</t>
  </si>
  <si>
    <t>OutgoingChart</t>
  </si>
  <si>
    <t>إجمالي المحوّل حسب الوحدة</t>
  </si>
  <si>
    <t>Total Transferred by Unit</t>
  </si>
  <si>
    <t>IncomingByBranchChart</t>
  </si>
  <si>
    <t>عدد حركات الوارد حسب الفرع</t>
  </si>
  <si>
    <t>Incoming Transactions by Branch</t>
  </si>
  <si>
    <t>OutgoingByBranchChart</t>
  </si>
  <si>
    <t>عدد حركات التحويل حسب الفرع</t>
  </si>
  <si>
    <t>Outgoing Transactions by Branch</t>
  </si>
  <si>
    <t>LogoSubtitle</t>
  </si>
  <si>
    <t>نظام إدارة المخزون متعدد الفروع</t>
  </si>
  <si>
    <t>Multi-Branch Inventory Management System</t>
  </si>
  <si>
    <t>InstructionsTitle</t>
  </si>
  <si>
    <t>التعليمات وطريقة الاستخدام</t>
  </si>
  <si>
    <t>Instructions &amp; How to Use</t>
  </si>
  <si>
    <t>ItemsTitle</t>
  </si>
  <si>
    <t>قائمة الأصناف حسب القسم</t>
  </si>
  <si>
    <t>Item List by Category</t>
  </si>
  <si>
    <t>SelectBranchOnce</t>
  </si>
  <si>
    <t>اختر فرعك مرة واحدة عند بدء استخدام الملف</t>
  </si>
  <si>
    <t>Select your branch once when you start using the file</t>
  </si>
  <si>
    <t>KPIIncoming</t>
  </si>
  <si>
    <t>إجمالي حركات الوارد هذا الشهر</t>
  </si>
  <si>
    <t>Total Incoming Transactions this Month</t>
  </si>
  <si>
    <t>KPIOutgoing</t>
  </si>
  <si>
    <t>إجمالي حركات التحويل هذا الشهر</t>
  </si>
  <si>
    <t>Total Outgoing Transactions this Month</t>
  </si>
  <si>
    <t>PeriodLockLabel</t>
  </si>
  <si>
    <r>
      <rPr>
        <sz val="11"/>
        <color theme="1"/>
        <rFont val="FreeSans"/>
        <family val="2"/>
      </rPr>
      <t xml:space="preserve">تاريخ بداية الفترة المفتوحة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لا يسمح بالتسجيل قبله</t>
    </r>
    <r>
      <rPr>
        <sz val="11"/>
        <color theme="1"/>
        <rFont val="Calibri"/>
        <family val="2"/>
        <charset val="1"/>
      </rPr>
      <t>)</t>
    </r>
  </si>
  <si>
    <t>Open Period Start Date (no entries allowed before it)</t>
  </si>
  <si>
    <t>ProductBreakdownTitle</t>
  </si>
  <si>
    <r>
      <rPr>
        <sz val="11"/>
        <color theme="1"/>
        <rFont val="FreeSans"/>
        <family val="2"/>
      </rPr>
      <t xml:space="preserve">التجميع التفصيلي حسب الصنف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كل الأقسام</t>
    </r>
    <r>
      <rPr>
        <sz val="11"/>
        <color theme="1"/>
        <rFont val="Calibri"/>
        <family val="2"/>
        <charset val="1"/>
      </rPr>
      <t>)</t>
    </r>
  </si>
  <si>
    <t>Detailed Breakdown by Product (All Categories)</t>
  </si>
  <si>
    <t>CategoryCol</t>
  </si>
  <si>
    <t>ProductCol</t>
  </si>
  <si>
    <t>الصنف</t>
  </si>
  <si>
    <t>Product</t>
  </si>
  <si>
    <t>TotalInQty</t>
  </si>
  <si>
    <t>إجمالي الوارد</t>
  </si>
  <si>
    <t>Total Incoming</t>
  </si>
  <si>
    <t>InTransCount</t>
  </si>
  <si>
    <t>عدد حركات الوارد</t>
  </si>
  <si>
    <t>Incoming Transactions</t>
  </si>
  <si>
    <t>TotalOutQty</t>
  </si>
  <si>
    <t>إجمالي المحوّل</t>
  </si>
  <si>
    <t>Total Transferred</t>
  </si>
  <si>
    <t>OutTransCount</t>
  </si>
  <si>
    <t>عدد حركات المحوّل</t>
  </si>
  <si>
    <t>Outgoing Transactions</t>
  </si>
  <si>
    <t>NetQty</t>
  </si>
  <si>
    <r>
      <rPr>
        <sz val="11"/>
        <color theme="1"/>
        <rFont val="FreeSans"/>
        <family val="2"/>
      </rPr>
      <t xml:space="preserve">صافي الوارد الفعلي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 xml:space="preserve">الوارد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>المحوّل</t>
    </r>
    <r>
      <rPr>
        <sz val="11"/>
        <color theme="1"/>
        <rFont val="Calibri"/>
        <family val="2"/>
        <charset val="1"/>
      </rPr>
      <t>)</t>
    </r>
  </si>
  <si>
    <t>Actual Net Incoming (In - Out)</t>
  </si>
  <si>
    <t>ProductBreakdownNote</t>
  </si>
  <si>
    <r>
      <rPr>
        <sz val="11"/>
        <color theme="1"/>
        <rFont val="FreeSans"/>
        <family val="2"/>
      </rPr>
      <t>الإجمالي والصافي يفترضان أن نفس الصنف يُسجَّل دائمًا بنفس الوحدة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>أضف صنفًا جديدًا لأي قسم من شيت الأصناف وسيظهر هنا تلقائيًا</t>
    </r>
    <r>
      <rPr>
        <sz val="11"/>
        <color theme="1"/>
        <rFont val="Calibri"/>
        <family val="2"/>
        <charset val="1"/>
      </rPr>
      <t>.</t>
    </r>
  </si>
  <si>
    <t>Totals and net assume the same product is always logged with the same unit. Add a new item to any category in the Items sheet and it will appear here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</si>
</sst>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mm\ yyyy"/>
  </numFmts>
  <fonts count="6">
    <font>
      <sz val="11"/>
      <color theme="1"/>
      <name val="Calibri"/>
      <family val="2"/>
      <charset val="1"/>
    </font>
    <font>
      <i/>
      <sz val="9"/>
      <color rgb="FF7A5A2A"/>
      <name val="Arial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sz val="11"/>
      <color theme="1"/>
      <name val="FreeSans"/>
      <family val="2"/>
    </font>
    <font>
      <sz val="10"/>
      <color rgb="FF3B2412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C89B3C"/>
        <bgColor rgb="FFB7A67A"/>
      </patternFill>
    </fill>
    <fill>
      <patternFill patternType="solid">
        <fgColor rgb="FF6F4518"/>
        <bgColor rgb="FF7A5A2A"/>
      </patternFill>
    </fill>
    <fill>
      <patternFill patternType="solid">
        <fgColor rgb="FFFBF8EE"/>
        <bgColor rgb="FFFFF8E7"/>
      </patternFill>
    </fill>
  </fills>
  <borders count="2">
    <border>
      <left/>
      <right/>
      <top/>
      <bottom/>
      <diagonal/>
    </border>
    <border>
      <left style="hair">
        <color rgb="FFD8CBA0"/>
      </left>
      <right style="hair">
        <color rgb="FFD8CBA0"/>
      </right>
      <top style="hair">
        <color rgb="FFD8CBA0"/>
      </top>
      <bottom style="hair">
        <color rgb="FFD8CB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0" fillId="4" borderId="1" xfId="0" applyFill="1" applyBorder="1"/>
    <xf numFmtId="0" fontId="3" fillId="3" borderId="0" xfId="0" applyFont="1" applyFill="1"/>
    <xf numFmtId="0" fontId="0" fillId="0" borderId="0" xfId="0" applyFont="1"/>
    <xf numFmtId="0" fontId="4" fillId="0" borderId="0" xfId="0" applyFont="1"/>
    <xf numFmtId="165" fontId="0" fillId="0" borderId="0" xfId="0" applyNumberFormat="1"/>
    <xf numFmtId="0" fontId="2" fillId="3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7A5A2A"/>
      <rgbColor rgb="FF800080"/>
      <rgbColor rgb="FF008080"/>
      <rgbColor rgb="FFD8CBA0"/>
      <rgbColor rgb="FF878787"/>
      <rgbColor rgb="FF9999FF"/>
      <rgbColor rgb="FFC0504D"/>
      <rgbColor rgb="FFFFF2CC"/>
      <rgbColor rgb="FFEDEDED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FBF8EE"/>
      <rgbColor rgb="FFFBF3E2"/>
      <rgbColor rgb="FF99CCFF"/>
      <rgbColor rgb="FFFFF8E7"/>
      <rgbColor rgb="FFCC99FF"/>
      <rgbColor rgb="FFEAD9B8"/>
      <rgbColor rgb="FF397BCA"/>
      <rgbColor rgb="FF33CCCC"/>
      <rgbColor rgb="FF99CC00"/>
      <rgbColor rgb="FFFFCC00"/>
      <rgbColor rgb="FFC89B3C"/>
      <rgbColor rgb="FFE07A2F"/>
      <rgbColor rgb="FF4F81BD"/>
      <rgbColor rgb="FFB7A67A"/>
      <rgbColor rgb="FF003366"/>
      <rgbColor rgb="FF339966"/>
      <rgbColor rgb="FF003300"/>
      <rgbColor rgb="FF3B2412"/>
      <rgbColor rgb="FFB23B22"/>
      <rgbColor rgb="FF993366"/>
      <rgbColor rgb="FF1F4E78"/>
      <rgbColor rgb="FF6F451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-590040</xdr:colOff>
      <xdr:row>0</xdr:row>
      <xdr:rowOff>0</xdr:rowOff>
    </xdr:from>
    <xdr:to>
      <xdr:col>8</xdr:col>
      <xdr:colOff>0</xdr:colOff>
      <xdr:row>0</xdr:row>
      <xdr:rowOff>285480</xdr:rowOff>
    </xdr:to>
    <xdr:pic>
      <xdr:nvPicPr>
        <xdr:cNvPr id="8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-17506440" y="0"/>
          <a:ext cx="590040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3"/>
  <sheetViews>
    <sheetView rightToLeft="1" tabSelected="1" zoomScaleNormal="100" workbookViewId="0">
      <pane ySplit="2" topLeftCell="A3" activePane="bottomLeft" state="frozen"/>
      <selection pane="bottomLeft" activeCell="D13" sqref="D13"/>
    </sheetView>
  </sheetViews>
  <sheetFormatPr defaultColWidth="8.6640625" defaultRowHeight="14.25"/>
  <cols>
    <col min="1" max="9" width="30" customWidth="1"/>
  </cols>
  <sheetData>
    <row r="1" spans="1:9" ht="33.75" customHeight="1">
      <c r="A1" s="8" t="s">
        <v>20</v>
      </c>
      <c r="B1" s="8"/>
      <c r="C1" s="8"/>
      <c r="D1" s="8"/>
      <c r="E1" s="8"/>
      <c r="F1" s="8"/>
      <c r="G1" s="8"/>
      <c r="H1" s="8"/>
      <c r="I1" s="8"/>
    </row>
    <row r="2" spans="1:9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</row>
    <row r="3" spans="1:9" ht="25.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</row>
    <row r="4" spans="1:9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33</v>
      </c>
      <c r="G4" s="2" t="s">
        <v>35</v>
      </c>
      <c r="H4" s="2" t="s">
        <v>36</v>
      </c>
      <c r="I4" s="2" t="s">
        <v>37</v>
      </c>
    </row>
    <row r="5" spans="1:9" ht="25.5">
      <c r="A5" s="2" t="s">
        <v>38</v>
      </c>
      <c r="B5" s="2" t="s">
        <v>39</v>
      </c>
      <c r="C5" s="2" t="s">
        <v>33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</row>
    <row r="6" spans="1:9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40</v>
      </c>
      <c r="G6" s="2" t="s">
        <v>51</v>
      </c>
      <c r="H6" s="2" t="s">
        <v>52</v>
      </c>
      <c r="I6" s="2" t="s">
        <v>53</v>
      </c>
    </row>
    <row r="7" spans="1:9" ht="25.5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</row>
    <row r="8" spans="1:9" ht="25.5">
      <c r="A8" s="2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32</v>
      </c>
      <c r="G8" s="2" t="s">
        <v>68</v>
      </c>
      <c r="H8" s="2" t="s">
        <v>69</v>
      </c>
      <c r="I8" s="2" t="s">
        <v>70</v>
      </c>
    </row>
    <row r="9" spans="1:9" ht="25.5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65</v>
      </c>
      <c r="G9" s="2" t="s">
        <v>76</v>
      </c>
      <c r="H9" s="2" t="s">
        <v>77</v>
      </c>
      <c r="I9" s="2" t="s">
        <v>78</v>
      </c>
    </row>
    <row r="10" spans="1:9">
      <c r="A10" s="2" t="s">
        <v>79</v>
      </c>
      <c r="B10" s="2" t="s">
        <v>80</v>
      </c>
      <c r="C10" s="2" t="s">
        <v>81</v>
      </c>
      <c r="D10" s="2" t="s">
        <v>39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86</v>
      </c>
    </row>
    <row r="11" spans="1:9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93</v>
      </c>
      <c r="H11" s="2" t="s">
        <v>94</v>
      </c>
      <c r="I11" s="2" t="s">
        <v>95</v>
      </c>
    </row>
    <row r="12" spans="1:9" ht="25.5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23</v>
      </c>
      <c r="G12" s="2" t="s">
        <v>101</v>
      </c>
      <c r="H12" s="2" t="s">
        <v>102</v>
      </c>
      <c r="I12" s="2" t="s">
        <v>103</v>
      </c>
    </row>
    <row r="13" spans="1:9">
      <c r="A13" s="2" t="s">
        <v>104</v>
      </c>
      <c r="B13" s="2" t="s">
        <v>105</v>
      </c>
      <c r="C13" s="2" t="s">
        <v>106</v>
      </c>
      <c r="D13" s="2" t="s">
        <v>107</v>
      </c>
      <c r="E13" s="2" t="s">
        <v>108</v>
      </c>
      <c r="F13" s="2" t="s">
        <v>109</v>
      </c>
      <c r="G13" s="2" t="s">
        <v>110</v>
      </c>
      <c r="H13" s="2" t="s">
        <v>111</v>
      </c>
      <c r="I13" s="3"/>
    </row>
    <row r="14" spans="1:9" ht="25.5">
      <c r="A14" s="2" t="s">
        <v>112</v>
      </c>
      <c r="B14" s="2" t="s">
        <v>113</v>
      </c>
      <c r="C14" s="2" t="s">
        <v>114</v>
      </c>
      <c r="D14" s="2" t="s">
        <v>115</v>
      </c>
      <c r="E14" s="2" t="s">
        <v>116</v>
      </c>
      <c r="F14" s="2" t="s">
        <v>81</v>
      </c>
      <c r="G14" s="2" t="s">
        <v>117</v>
      </c>
      <c r="H14" s="2" t="s">
        <v>118</v>
      </c>
      <c r="I14" s="3"/>
    </row>
    <row r="15" spans="1:9" ht="25.5">
      <c r="A15" s="2" t="s">
        <v>119</v>
      </c>
      <c r="B15" s="2" t="s">
        <v>120</v>
      </c>
      <c r="C15" s="2" t="s">
        <v>121</v>
      </c>
      <c r="D15" s="2" t="s">
        <v>41</v>
      </c>
      <c r="E15" s="2" t="s">
        <v>122</v>
      </c>
      <c r="F15" s="2" t="s">
        <v>89</v>
      </c>
      <c r="G15" s="2" t="s">
        <v>123</v>
      </c>
      <c r="H15" s="2" t="s">
        <v>124</v>
      </c>
      <c r="I15" s="3"/>
    </row>
    <row r="16" spans="1:9">
      <c r="A16" s="2" t="s">
        <v>125</v>
      </c>
      <c r="B16" s="2" t="s">
        <v>126</v>
      </c>
      <c r="C16" s="2" t="s">
        <v>127</v>
      </c>
      <c r="D16" s="2" t="s">
        <v>108</v>
      </c>
      <c r="E16" s="2" t="s">
        <v>128</v>
      </c>
      <c r="F16" s="2" t="s">
        <v>98</v>
      </c>
      <c r="G16" s="2" t="s">
        <v>129</v>
      </c>
      <c r="H16" s="2" t="s">
        <v>130</v>
      </c>
      <c r="I16" s="3"/>
    </row>
    <row r="17" spans="1:9" ht="25.5">
      <c r="A17" s="2" t="s">
        <v>131</v>
      </c>
      <c r="B17" s="2" t="s">
        <v>132</v>
      </c>
      <c r="C17" s="2" t="s">
        <v>133</v>
      </c>
      <c r="D17" s="2" t="s">
        <v>116</v>
      </c>
      <c r="E17" s="2" t="s">
        <v>134</v>
      </c>
      <c r="F17" s="2" t="s">
        <v>135</v>
      </c>
      <c r="G17" s="2" t="s">
        <v>136</v>
      </c>
      <c r="H17" s="2" t="s">
        <v>137</v>
      </c>
      <c r="I17" s="3"/>
    </row>
    <row r="18" spans="1:9" ht="25.5">
      <c r="A18" s="2" t="s">
        <v>138</v>
      </c>
      <c r="B18" s="2" t="s">
        <v>139</v>
      </c>
      <c r="C18" s="2" t="s">
        <v>140</v>
      </c>
      <c r="D18" s="2" t="s">
        <v>141</v>
      </c>
      <c r="E18" s="2" t="s">
        <v>142</v>
      </c>
      <c r="F18" s="2" t="s">
        <v>143</v>
      </c>
      <c r="G18" s="2" t="s">
        <v>144</v>
      </c>
      <c r="H18" s="2" t="s">
        <v>145</v>
      </c>
      <c r="I18" s="3"/>
    </row>
    <row r="19" spans="1:9">
      <c r="A19" s="2" t="s">
        <v>146</v>
      </c>
      <c r="B19" s="2" t="s">
        <v>147</v>
      </c>
      <c r="C19" s="2" t="s">
        <v>148</v>
      </c>
      <c r="D19" s="2" t="s">
        <v>149</v>
      </c>
      <c r="E19" s="2" t="s">
        <v>150</v>
      </c>
      <c r="F19" s="2" t="s">
        <v>151</v>
      </c>
      <c r="G19" s="2" t="s">
        <v>152</v>
      </c>
      <c r="H19" s="2" t="s">
        <v>153</v>
      </c>
      <c r="I19" s="3"/>
    </row>
    <row r="20" spans="1:9">
      <c r="A20" s="2" t="s">
        <v>154</v>
      </c>
      <c r="B20" s="2" t="s">
        <v>155</v>
      </c>
      <c r="C20" s="2" t="s">
        <v>156</v>
      </c>
      <c r="D20" s="2" t="s">
        <v>157</v>
      </c>
      <c r="E20" s="2" t="s">
        <v>158</v>
      </c>
      <c r="F20" s="2" t="s">
        <v>159</v>
      </c>
      <c r="G20" s="2" t="s">
        <v>160</v>
      </c>
      <c r="H20" s="2" t="s">
        <v>161</v>
      </c>
      <c r="I20" s="3"/>
    </row>
    <row r="21" spans="1:9" ht="25.5">
      <c r="A21" s="2" t="s">
        <v>162</v>
      </c>
      <c r="B21" s="2" t="s">
        <v>163</v>
      </c>
      <c r="C21" s="2" t="s">
        <v>164</v>
      </c>
      <c r="D21" s="2" t="s">
        <v>165</v>
      </c>
      <c r="E21" s="2" t="s">
        <v>166</v>
      </c>
      <c r="F21" s="2" t="s">
        <v>134</v>
      </c>
      <c r="G21" s="2" t="s">
        <v>167</v>
      </c>
      <c r="H21" s="2" t="s">
        <v>168</v>
      </c>
      <c r="I21" s="3"/>
    </row>
    <row r="22" spans="1:9" ht="25.5">
      <c r="A22" s="2" t="s">
        <v>169</v>
      </c>
      <c r="B22" s="2" t="s">
        <v>170</v>
      </c>
      <c r="C22" s="2" t="s">
        <v>171</v>
      </c>
      <c r="D22" s="2" t="s">
        <v>128</v>
      </c>
      <c r="E22" s="2" t="s">
        <v>172</v>
      </c>
      <c r="F22" s="2" t="s">
        <v>173</v>
      </c>
      <c r="G22" s="2" t="s">
        <v>174</v>
      </c>
      <c r="H22" s="2" t="s">
        <v>175</v>
      </c>
      <c r="I22" s="3"/>
    </row>
    <row r="23" spans="1:9" ht="25.5">
      <c r="A23" s="2" t="s">
        <v>176</v>
      </c>
      <c r="B23" s="2" t="s">
        <v>177</v>
      </c>
      <c r="C23" s="2" t="s">
        <v>178</v>
      </c>
      <c r="D23" s="2" t="s">
        <v>179</v>
      </c>
      <c r="E23" s="2" t="s">
        <v>180</v>
      </c>
      <c r="F23" s="2" t="s">
        <v>181</v>
      </c>
      <c r="G23" s="2" t="s">
        <v>182</v>
      </c>
      <c r="H23" s="2" t="s">
        <v>183</v>
      </c>
      <c r="I23" s="3"/>
    </row>
    <row r="24" spans="1:9" ht="25.5">
      <c r="A24" s="2" t="s">
        <v>184</v>
      </c>
      <c r="B24" s="2" t="s">
        <v>185</v>
      </c>
      <c r="C24" s="2" t="s">
        <v>186</v>
      </c>
      <c r="D24" s="2" t="s">
        <v>187</v>
      </c>
      <c r="E24" s="2" t="s">
        <v>188</v>
      </c>
      <c r="F24" s="2" t="s">
        <v>189</v>
      </c>
      <c r="G24" s="2" t="s">
        <v>190</v>
      </c>
      <c r="H24" s="2" t="s">
        <v>191</v>
      </c>
      <c r="I24" s="3"/>
    </row>
    <row r="25" spans="1:9">
      <c r="A25" s="2" t="s">
        <v>192</v>
      </c>
      <c r="B25" s="2" t="s">
        <v>193</v>
      </c>
      <c r="C25" s="2" t="s">
        <v>194</v>
      </c>
      <c r="D25" s="2" t="s">
        <v>134</v>
      </c>
      <c r="E25" s="2" t="s">
        <v>195</v>
      </c>
      <c r="F25" s="2" t="s">
        <v>196</v>
      </c>
      <c r="G25" s="2" t="s">
        <v>197</v>
      </c>
      <c r="H25" s="2" t="s">
        <v>198</v>
      </c>
      <c r="I25" s="3"/>
    </row>
    <row r="26" spans="1:9" ht="25.5">
      <c r="A26" s="2" t="s">
        <v>199</v>
      </c>
      <c r="B26" s="2" t="s">
        <v>200</v>
      </c>
      <c r="C26" s="2" t="s">
        <v>135</v>
      </c>
      <c r="D26" s="2" t="s">
        <v>201</v>
      </c>
      <c r="E26" s="2" t="s">
        <v>202</v>
      </c>
      <c r="F26" s="2" t="s">
        <v>203</v>
      </c>
      <c r="G26" s="2" t="s">
        <v>204</v>
      </c>
      <c r="H26" s="2" t="s">
        <v>205</v>
      </c>
      <c r="I26" s="3"/>
    </row>
    <row r="27" spans="1:9">
      <c r="A27" s="2" t="s">
        <v>206</v>
      </c>
      <c r="B27" s="2" t="s">
        <v>207</v>
      </c>
      <c r="C27" s="2" t="s">
        <v>141</v>
      </c>
      <c r="D27" s="2" t="s">
        <v>142</v>
      </c>
      <c r="E27" s="2" t="s">
        <v>208</v>
      </c>
      <c r="F27" s="2" t="s">
        <v>209</v>
      </c>
      <c r="G27" s="2" t="s">
        <v>210</v>
      </c>
      <c r="H27" s="2" t="s">
        <v>211</v>
      </c>
      <c r="I27" s="3"/>
    </row>
    <row r="28" spans="1:9">
      <c r="A28" s="2" t="s">
        <v>212</v>
      </c>
      <c r="B28" s="2" t="s">
        <v>213</v>
      </c>
      <c r="C28" s="2" t="s">
        <v>122</v>
      </c>
      <c r="D28" s="2" t="s">
        <v>214</v>
      </c>
      <c r="E28" s="2" t="s">
        <v>215</v>
      </c>
      <c r="F28" s="2" t="s">
        <v>216</v>
      </c>
      <c r="G28" s="2" t="s">
        <v>217</v>
      </c>
      <c r="H28" s="2" t="s">
        <v>218</v>
      </c>
      <c r="I28" s="3"/>
    </row>
    <row r="29" spans="1:9" ht="25.5">
      <c r="A29" s="2" t="s">
        <v>219</v>
      </c>
      <c r="B29" s="2" t="s">
        <v>220</v>
      </c>
      <c r="C29" s="2" t="s">
        <v>179</v>
      </c>
      <c r="D29" s="2" t="s">
        <v>221</v>
      </c>
      <c r="E29" s="2" t="s">
        <v>222</v>
      </c>
      <c r="F29" s="2" t="s">
        <v>223</v>
      </c>
      <c r="G29" s="2" t="s">
        <v>224</v>
      </c>
      <c r="H29" s="2" t="s">
        <v>225</v>
      </c>
      <c r="I29" s="3"/>
    </row>
    <row r="30" spans="1:9" ht="25.5">
      <c r="A30" s="2" t="s">
        <v>226</v>
      </c>
      <c r="B30" s="2" t="s">
        <v>227</v>
      </c>
      <c r="C30" s="2" t="s">
        <v>228</v>
      </c>
      <c r="D30" s="2" t="s">
        <v>67</v>
      </c>
      <c r="E30" s="2" t="s">
        <v>229</v>
      </c>
      <c r="F30" s="2" t="s">
        <v>230</v>
      </c>
      <c r="G30" s="2" t="s">
        <v>231</v>
      </c>
      <c r="H30" s="2" t="s">
        <v>232</v>
      </c>
      <c r="I30" s="3"/>
    </row>
    <row r="31" spans="1:9" ht="25.5">
      <c r="A31" s="2" t="s">
        <v>233</v>
      </c>
      <c r="B31" s="2" t="s">
        <v>234</v>
      </c>
      <c r="C31" s="2" t="s">
        <v>235</v>
      </c>
      <c r="D31" s="2" t="s">
        <v>236</v>
      </c>
      <c r="E31" s="2" t="s">
        <v>237</v>
      </c>
      <c r="F31" s="2" t="s">
        <v>238</v>
      </c>
      <c r="G31" s="3"/>
      <c r="H31" s="2" t="s">
        <v>239</v>
      </c>
      <c r="I31" s="3"/>
    </row>
    <row r="32" spans="1:9">
      <c r="A32" s="2" t="s">
        <v>240</v>
      </c>
      <c r="B32" s="2" t="s">
        <v>100</v>
      </c>
      <c r="C32" s="2" t="s">
        <v>134</v>
      </c>
      <c r="D32" s="2" t="s">
        <v>241</v>
      </c>
      <c r="E32" s="2" t="s">
        <v>242</v>
      </c>
      <c r="F32" s="2" t="s">
        <v>243</v>
      </c>
      <c r="G32" s="3"/>
      <c r="H32" s="2" t="s">
        <v>244</v>
      </c>
      <c r="I32" s="3"/>
    </row>
    <row r="33" spans="1:9" ht="25.5">
      <c r="A33" s="2" t="s">
        <v>245</v>
      </c>
      <c r="B33" s="2" t="s">
        <v>246</v>
      </c>
      <c r="C33" s="2" t="s">
        <v>247</v>
      </c>
      <c r="D33" s="2" t="s">
        <v>223</v>
      </c>
      <c r="E33" s="2" t="s">
        <v>248</v>
      </c>
      <c r="F33" s="2" t="s">
        <v>249</v>
      </c>
      <c r="G33" s="3"/>
      <c r="H33" s="2" t="s">
        <v>250</v>
      </c>
      <c r="I33" s="3"/>
    </row>
    <row r="34" spans="1:9">
      <c r="A34" s="2" t="s">
        <v>251</v>
      </c>
      <c r="B34" s="2" t="s">
        <v>252</v>
      </c>
      <c r="C34" s="2" t="s">
        <v>253</v>
      </c>
      <c r="D34" s="2" t="s">
        <v>254</v>
      </c>
      <c r="E34" s="2" t="s">
        <v>255</v>
      </c>
      <c r="F34" s="2" t="s">
        <v>256</v>
      </c>
      <c r="G34" s="3"/>
      <c r="H34" s="2" t="s">
        <v>257</v>
      </c>
      <c r="I34" s="3"/>
    </row>
    <row r="35" spans="1:9" ht="25.5">
      <c r="A35" s="2" t="s">
        <v>258</v>
      </c>
      <c r="B35" s="2" t="s">
        <v>259</v>
      </c>
      <c r="C35" s="2" t="s">
        <v>209</v>
      </c>
      <c r="D35" s="2" t="s">
        <v>260</v>
      </c>
      <c r="E35" s="2" t="s">
        <v>261</v>
      </c>
      <c r="F35" s="2" t="s">
        <v>262</v>
      </c>
      <c r="G35" s="3"/>
      <c r="H35" s="2" t="s">
        <v>263</v>
      </c>
      <c r="I35" s="3"/>
    </row>
    <row r="36" spans="1:9">
      <c r="A36" s="2" t="s">
        <v>264</v>
      </c>
      <c r="B36" s="2" t="s">
        <v>265</v>
      </c>
      <c r="C36" s="2" t="s">
        <v>216</v>
      </c>
      <c r="D36" s="2" t="s">
        <v>266</v>
      </c>
      <c r="E36" s="2" t="s">
        <v>267</v>
      </c>
      <c r="F36" s="2" t="s">
        <v>268</v>
      </c>
      <c r="G36" s="3"/>
      <c r="H36" s="2" t="s">
        <v>269</v>
      </c>
      <c r="I36" s="3"/>
    </row>
    <row r="37" spans="1:9">
      <c r="A37" s="2" t="s">
        <v>270</v>
      </c>
      <c r="B37" s="2" t="s">
        <v>271</v>
      </c>
      <c r="C37" s="2" t="s">
        <v>149</v>
      </c>
      <c r="D37" s="2" t="s">
        <v>172</v>
      </c>
      <c r="E37" s="2" t="s">
        <v>272</v>
      </c>
      <c r="F37" s="2" t="s">
        <v>273</v>
      </c>
      <c r="G37" s="3"/>
      <c r="H37" s="2" t="s">
        <v>274</v>
      </c>
      <c r="I37" s="3"/>
    </row>
    <row r="38" spans="1:9">
      <c r="A38" s="2" t="s">
        <v>275</v>
      </c>
      <c r="B38" s="2" t="s">
        <v>276</v>
      </c>
      <c r="C38" s="2" t="s">
        <v>277</v>
      </c>
      <c r="D38" s="2" t="s">
        <v>278</v>
      </c>
      <c r="E38" s="2" t="s">
        <v>279</v>
      </c>
      <c r="F38" s="2" t="s">
        <v>280</v>
      </c>
      <c r="G38" s="3"/>
      <c r="H38" s="2" t="s">
        <v>281</v>
      </c>
      <c r="I38" s="3"/>
    </row>
    <row r="39" spans="1:9" ht="38.25">
      <c r="A39" s="2" t="s">
        <v>282</v>
      </c>
      <c r="B39" s="2" t="s">
        <v>283</v>
      </c>
      <c r="C39" s="2" t="s">
        <v>203</v>
      </c>
      <c r="D39" s="2" t="s">
        <v>284</v>
      </c>
      <c r="E39" s="2" t="s">
        <v>285</v>
      </c>
      <c r="F39" s="2" t="s">
        <v>122</v>
      </c>
      <c r="G39" s="3"/>
      <c r="H39" s="2" t="s">
        <v>286</v>
      </c>
      <c r="I39" s="3"/>
    </row>
    <row r="40" spans="1:9" ht="25.5">
      <c r="A40" s="2" t="s">
        <v>287</v>
      </c>
      <c r="B40" s="2" t="s">
        <v>267</v>
      </c>
      <c r="C40" s="2" t="s">
        <v>223</v>
      </c>
      <c r="D40" s="2" t="s">
        <v>288</v>
      </c>
      <c r="E40" s="2" t="s">
        <v>289</v>
      </c>
      <c r="F40" s="2" t="s">
        <v>235</v>
      </c>
      <c r="G40" s="3"/>
      <c r="H40" s="2" t="s">
        <v>290</v>
      </c>
      <c r="I40" s="3"/>
    </row>
    <row r="41" spans="1:9" ht="25.5">
      <c r="A41" s="2" t="s">
        <v>291</v>
      </c>
      <c r="B41" s="2" t="s">
        <v>272</v>
      </c>
      <c r="C41" s="2" t="s">
        <v>230</v>
      </c>
      <c r="D41" s="2" t="s">
        <v>292</v>
      </c>
      <c r="E41" s="2" t="s">
        <v>293</v>
      </c>
      <c r="F41" s="2" t="s">
        <v>108</v>
      </c>
      <c r="G41" s="3"/>
      <c r="H41" s="2" t="s">
        <v>294</v>
      </c>
      <c r="I41" s="3"/>
    </row>
    <row r="42" spans="1:9" ht="25.5">
      <c r="A42" s="2" t="s">
        <v>295</v>
      </c>
      <c r="B42" s="2" t="s">
        <v>296</v>
      </c>
      <c r="C42" s="2" t="s">
        <v>297</v>
      </c>
      <c r="D42" s="2" t="s">
        <v>298</v>
      </c>
      <c r="E42" s="2" t="s">
        <v>299</v>
      </c>
      <c r="F42" s="2" t="s">
        <v>141</v>
      </c>
      <c r="G42" s="3"/>
      <c r="H42" s="2" t="s">
        <v>300</v>
      </c>
      <c r="I42" s="3"/>
    </row>
    <row r="43" spans="1:9" ht="25.5">
      <c r="A43" s="2" t="s">
        <v>301</v>
      </c>
      <c r="B43" s="2" t="s">
        <v>178</v>
      </c>
      <c r="C43" s="2" t="s">
        <v>302</v>
      </c>
      <c r="D43" s="2" t="s">
        <v>303</v>
      </c>
      <c r="E43" s="2" t="s">
        <v>304</v>
      </c>
      <c r="F43" s="2" t="s">
        <v>149</v>
      </c>
      <c r="G43" s="3"/>
      <c r="H43" s="3"/>
      <c r="I43" s="3"/>
    </row>
    <row r="44" spans="1:9" ht="25.5">
      <c r="A44" s="2" t="s">
        <v>305</v>
      </c>
      <c r="B44" s="2" t="s">
        <v>306</v>
      </c>
      <c r="C44" s="2" t="s">
        <v>307</v>
      </c>
      <c r="D44" s="2" t="s">
        <v>180</v>
      </c>
      <c r="E44" s="2" t="s">
        <v>308</v>
      </c>
      <c r="F44" s="2" t="s">
        <v>165</v>
      </c>
      <c r="G44" s="3"/>
      <c r="H44" s="3"/>
      <c r="I44" s="3"/>
    </row>
    <row r="45" spans="1:9" ht="25.5">
      <c r="A45" s="2" t="s">
        <v>309</v>
      </c>
      <c r="B45" s="2" t="s">
        <v>310</v>
      </c>
      <c r="C45" s="2" t="s">
        <v>311</v>
      </c>
      <c r="D45" s="2" t="s">
        <v>312</v>
      </c>
      <c r="E45" s="2" t="s">
        <v>313</v>
      </c>
      <c r="F45" s="2" t="s">
        <v>314</v>
      </c>
      <c r="G45" s="3"/>
      <c r="H45" s="3"/>
      <c r="I45" s="3"/>
    </row>
    <row r="46" spans="1:9" ht="25.5">
      <c r="A46" s="2" t="s">
        <v>315</v>
      </c>
      <c r="B46" s="2" t="s">
        <v>316</v>
      </c>
      <c r="C46" s="2" t="s">
        <v>181</v>
      </c>
      <c r="D46" s="2" t="s">
        <v>195</v>
      </c>
      <c r="E46" s="2" t="s">
        <v>317</v>
      </c>
      <c r="F46" s="2" t="s">
        <v>247</v>
      </c>
      <c r="G46" s="3"/>
      <c r="H46" s="3"/>
      <c r="I46" s="3"/>
    </row>
    <row r="47" spans="1:9" ht="25.5">
      <c r="A47" s="2" t="s">
        <v>318</v>
      </c>
      <c r="B47" s="2" t="s">
        <v>319</v>
      </c>
      <c r="C47" s="2" t="s">
        <v>189</v>
      </c>
      <c r="D47" s="2" t="s">
        <v>320</v>
      </c>
      <c r="E47" s="2" t="s">
        <v>122</v>
      </c>
      <c r="F47" s="2" t="s">
        <v>277</v>
      </c>
      <c r="G47" s="3"/>
      <c r="H47" s="3"/>
      <c r="I47" s="3"/>
    </row>
    <row r="48" spans="1:9" ht="38.25">
      <c r="A48" s="2" t="s">
        <v>321</v>
      </c>
      <c r="B48" s="2" t="s">
        <v>322</v>
      </c>
      <c r="C48" s="2" t="s">
        <v>262</v>
      </c>
      <c r="D48" s="2" t="s">
        <v>302</v>
      </c>
      <c r="E48" s="2" t="s">
        <v>323</v>
      </c>
      <c r="F48" s="2" t="s">
        <v>324</v>
      </c>
      <c r="G48" s="3"/>
      <c r="H48" s="3"/>
      <c r="I48" s="3"/>
    </row>
    <row r="49" spans="1:9" ht="25.5">
      <c r="A49" s="2" t="s">
        <v>325</v>
      </c>
      <c r="B49" s="2" t="s">
        <v>326</v>
      </c>
      <c r="C49" s="2" t="s">
        <v>327</v>
      </c>
      <c r="D49" s="2" t="s">
        <v>100</v>
      </c>
      <c r="E49" s="2" t="s">
        <v>328</v>
      </c>
      <c r="F49" s="2" t="s">
        <v>329</v>
      </c>
      <c r="G49" s="3"/>
      <c r="H49" s="3"/>
      <c r="I49" s="3"/>
    </row>
    <row r="50" spans="1:9" ht="25.5">
      <c r="A50" s="2" t="s">
        <v>330</v>
      </c>
      <c r="B50" s="2" t="s">
        <v>331</v>
      </c>
      <c r="C50" s="2" t="s">
        <v>332</v>
      </c>
      <c r="D50" s="2" t="s">
        <v>333</v>
      </c>
      <c r="E50" s="2" t="s">
        <v>334</v>
      </c>
      <c r="F50" s="2" t="s">
        <v>327</v>
      </c>
      <c r="G50" s="3"/>
      <c r="H50" s="3"/>
      <c r="I50" s="3"/>
    </row>
    <row r="51" spans="1:9">
      <c r="A51" s="2" t="s">
        <v>335</v>
      </c>
      <c r="B51" s="2" t="s">
        <v>336</v>
      </c>
      <c r="C51" s="2" t="s">
        <v>268</v>
      </c>
      <c r="D51" s="2" t="s">
        <v>208</v>
      </c>
      <c r="E51" s="2" t="s">
        <v>337</v>
      </c>
      <c r="F51" s="2" t="s">
        <v>253</v>
      </c>
      <c r="G51" s="3"/>
      <c r="H51" s="3"/>
      <c r="I51" s="3"/>
    </row>
    <row r="52" spans="1:9">
      <c r="A52" s="2" t="s">
        <v>338</v>
      </c>
      <c r="B52" s="2" t="s">
        <v>339</v>
      </c>
      <c r="C52" s="2" t="s">
        <v>143</v>
      </c>
      <c r="D52" s="2" t="s">
        <v>340</v>
      </c>
      <c r="E52" s="3"/>
      <c r="F52" s="2" t="s">
        <v>307</v>
      </c>
      <c r="G52" s="3"/>
      <c r="H52" s="3"/>
      <c r="I52" s="3"/>
    </row>
    <row r="53" spans="1:9">
      <c r="A53" s="2" t="s">
        <v>341</v>
      </c>
      <c r="B53" s="2" t="s">
        <v>338</v>
      </c>
      <c r="C53" s="2" t="s">
        <v>342</v>
      </c>
      <c r="D53" s="2" t="s">
        <v>343</v>
      </c>
      <c r="E53" s="3"/>
      <c r="F53" s="2" t="s">
        <v>344</v>
      </c>
      <c r="G53" s="3"/>
      <c r="H53" s="3"/>
      <c r="I53" s="3"/>
    </row>
    <row r="54" spans="1:9" ht="25.5">
      <c r="A54" s="2" t="s">
        <v>345</v>
      </c>
      <c r="B54" s="2" t="s">
        <v>346</v>
      </c>
      <c r="C54" s="2" t="s">
        <v>280</v>
      </c>
      <c r="D54" s="2" t="s">
        <v>347</v>
      </c>
      <c r="E54" s="3"/>
      <c r="F54" s="2" t="s">
        <v>348</v>
      </c>
      <c r="G54" s="3"/>
      <c r="H54" s="3"/>
      <c r="I54" s="3"/>
    </row>
    <row r="55" spans="1:9">
      <c r="A55" s="2" t="s">
        <v>349</v>
      </c>
      <c r="B55" s="2" t="s">
        <v>350</v>
      </c>
      <c r="C55" s="2" t="s">
        <v>351</v>
      </c>
      <c r="D55" s="2" t="s">
        <v>352</v>
      </c>
      <c r="E55" s="3"/>
      <c r="F55" s="2" t="s">
        <v>353</v>
      </c>
      <c r="G55" s="3"/>
      <c r="H55" s="3"/>
      <c r="I55" s="3"/>
    </row>
    <row r="56" spans="1:9" ht="25.5">
      <c r="A56" s="2" t="s">
        <v>354</v>
      </c>
      <c r="B56" s="2" t="s">
        <v>355</v>
      </c>
      <c r="C56" s="2" t="s">
        <v>356</v>
      </c>
      <c r="D56" s="2" t="s">
        <v>357</v>
      </c>
      <c r="E56" s="3"/>
      <c r="F56" s="2" t="s">
        <v>358</v>
      </c>
      <c r="G56" s="3"/>
      <c r="H56" s="3"/>
      <c r="I56" s="3"/>
    </row>
    <row r="57" spans="1:9" ht="25.5">
      <c r="A57" s="2" t="s">
        <v>359</v>
      </c>
      <c r="B57" s="2" t="s">
        <v>360</v>
      </c>
      <c r="C57" s="2" t="s">
        <v>361</v>
      </c>
      <c r="D57" s="2" t="s">
        <v>362</v>
      </c>
      <c r="E57" s="3"/>
      <c r="F57" s="2" t="s">
        <v>363</v>
      </c>
      <c r="G57" s="3"/>
      <c r="H57" s="3"/>
      <c r="I57" s="3"/>
    </row>
    <row r="58" spans="1:9" ht="25.5">
      <c r="A58" s="2" t="s">
        <v>364</v>
      </c>
      <c r="B58" s="2" t="s">
        <v>365</v>
      </c>
      <c r="C58" s="2" t="s">
        <v>287</v>
      </c>
      <c r="D58" s="2" t="s">
        <v>366</v>
      </c>
      <c r="E58" s="3"/>
      <c r="F58" s="2" t="s">
        <v>367</v>
      </c>
      <c r="G58" s="3"/>
      <c r="H58" s="3"/>
      <c r="I58" s="3"/>
    </row>
    <row r="59" spans="1:9" ht="25.5">
      <c r="A59" s="2" t="s">
        <v>368</v>
      </c>
      <c r="B59" s="2" t="s">
        <v>369</v>
      </c>
      <c r="C59" s="2" t="s">
        <v>282</v>
      </c>
      <c r="D59" s="2" t="s">
        <v>370</v>
      </c>
      <c r="E59" s="3"/>
      <c r="F59" s="2" t="s">
        <v>371</v>
      </c>
      <c r="G59" s="3"/>
      <c r="H59" s="3"/>
      <c r="I59" s="3"/>
    </row>
    <row r="60" spans="1:9" ht="25.5">
      <c r="A60" s="2" t="s">
        <v>372</v>
      </c>
      <c r="B60" s="2" t="s">
        <v>373</v>
      </c>
      <c r="C60" s="2" t="s">
        <v>374</v>
      </c>
      <c r="D60" s="2" t="s">
        <v>237</v>
      </c>
      <c r="E60" s="3"/>
      <c r="F60" s="2" t="s">
        <v>100</v>
      </c>
      <c r="G60" s="3"/>
      <c r="H60" s="3"/>
      <c r="I60" s="3"/>
    </row>
    <row r="61" spans="1:9" ht="25.5">
      <c r="A61" s="2" t="s">
        <v>375</v>
      </c>
      <c r="B61" s="2" t="s">
        <v>376</v>
      </c>
      <c r="C61" s="3"/>
      <c r="D61" s="2" t="s">
        <v>377</v>
      </c>
      <c r="E61" s="3"/>
      <c r="F61" s="2" t="s">
        <v>378</v>
      </c>
      <c r="G61" s="3"/>
      <c r="H61" s="3"/>
      <c r="I61" s="3"/>
    </row>
    <row r="62" spans="1:9" ht="25.5">
      <c r="A62" s="2" t="s">
        <v>379</v>
      </c>
      <c r="B62" s="2" t="s">
        <v>380</v>
      </c>
      <c r="C62" s="3"/>
      <c r="D62" s="2" t="s">
        <v>381</v>
      </c>
      <c r="E62" s="3"/>
      <c r="F62" s="2" t="s">
        <v>311</v>
      </c>
      <c r="G62" s="3"/>
      <c r="H62" s="3"/>
      <c r="I62" s="3"/>
    </row>
    <row r="63" spans="1:9" ht="25.5">
      <c r="A63" s="2" t="s">
        <v>382</v>
      </c>
      <c r="B63" s="2" t="s">
        <v>383</v>
      </c>
      <c r="C63" s="3"/>
      <c r="D63" s="2" t="s">
        <v>358</v>
      </c>
      <c r="E63" s="3"/>
      <c r="F63" s="2" t="s">
        <v>384</v>
      </c>
      <c r="G63" s="3"/>
      <c r="H63" s="3"/>
      <c r="I63" s="3"/>
    </row>
    <row r="64" spans="1:9" ht="25.5">
      <c r="A64" s="2" t="s">
        <v>385</v>
      </c>
      <c r="B64" s="2" t="s">
        <v>386</v>
      </c>
      <c r="C64" s="3"/>
      <c r="D64" s="2" t="s">
        <v>387</v>
      </c>
      <c r="E64" s="3"/>
      <c r="F64" s="2" t="s">
        <v>388</v>
      </c>
      <c r="G64" s="3"/>
      <c r="H64" s="3"/>
      <c r="I64" s="3"/>
    </row>
    <row r="65" spans="1:9" ht="25.5">
      <c r="A65" s="2" t="s">
        <v>389</v>
      </c>
      <c r="B65" s="2" t="s">
        <v>390</v>
      </c>
      <c r="C65" s="3"/>
      <c r="D65" s="2" t="s">
        <v>391</v>
      </c>
      <c r="E65" s="3"/>
      <c r="F65" s="2" t="s">
        <v>381</v>
      </c>
      <c r="G65" s="3"/>
      <c r="H65" s="3"/>
      <c r="I65" s="3"/>
    </row>
    <row r="66" spans="1:9" ht="25.5">
      <c r="A66" s="2" t="s">
        <v>392</v>
      </c>
      <c r="B66" s="2" t="s">
        <v>393</v>
      </c>
      <c r="C66" s="3"/>
      <c r="D66" s="2" t="s">
        <v>394</v>
      </c>
      <c r="E66" s="3"/>
      <c r="F66" s="2" t="s">
        <v>395</v>
      </c>
      <c r="G66" s="3"/>
      <c r="H66" s="3"/>
      <c r="I66" s="3"/>
    </row>
    <row r="67" spans="1:9">
      <c r="A67" s="2" t="s">
        <v>396</v>
      </c>
      <c r="B67" s="2" t="s">
        <v>397</v>
      </c>
      <c r="C67" s="3"/>
      <c r="D67" s="2" t="s">
        <v>398</v>
      </c>
      <c r="E67" s="3"/>
      <c r="F67" s="2" t="s">
        <v>399</v>
      </c>
      <c r="G67" s="3"/>
      <c r="H67" s="3"/>
      <c r="I67" s="3"/>
    </row>
    <row r="68" spans="1:9">
      <c r="A68" s="2" t="s">
        <v>400</v>
      </c>
      <c r="B68" s="2" t="s">
        <v>401</v>
      </c>
      <c r="C68" s="3"/>
      <c r="D68" s="2" t="s">
        <v>402</v>
      </c>
      <c r="E68" s="3"/>
      <c r="F68" s="2" t="s">
        <v>403</v>
      </c>
      <c r="G68" s="3"/>
      <c r="H68" s="3"/>
      <c r="I68" s="3"/>
    </row>
    <row r="69" spans="1:9">
      <c r="A69" s="2" t="s">
        <v>404</v>
      </c>
      <c r="B69" s="2" t="s">
        <v>405</v>
      </c>
      <c r="C69" s="3"/>
      <c r="D69" s="2" t="s">
        <v>406</v>
      </c>
      <c r="E69" s="3"/>
      <c r="F69" s="2" t="s">
        <v>407</v>
      </c>
      <c r="G69" s="3"/>
      <c r="H69" s="3"/>
      <c r="I69" s="3"/>
    </row>
    <row r="70" spans="1:9">
      <c r="A70" s="2" t="s">
        <v>408</v>
      </c>
      <c r="B70" s="2" t="s">
        <v>409</v>
      </c>
      <c r="C70" s="3"/>
      <c r="D70" s="2" t="s">
        <v>127</v>
      </c>
      <c r="E70" s="3"/>
      <c r="F70" s="2" t="s">
        <v>410</v>
      </c>
      <c r="G70" s="3"/>
      <c r="H70" s="3"/>
      <c r="I70" s="3"/>
    </row>
    <row r="71" spans="1:9">
      <c r="A71" s="2" t="s">
        <v>411</v>
      </c>
      <c r="B71" s="2" t="s">
        <v>412</v>
      </c>
      <c r="C71" s="3"/>
      <c r="D71" s="2" t="s">
        <v>267</v>
      </c>
      <c r="E71" s="3"/>
      <c r="F71" s="2" t="s">
        <v>413</v>
      </c>
      <c r="G71" s="3"/>
      <c r="H71" s="3"/>
      <c r="I71" s="3"/>
    </row>
    <row r="72" spans="1:9">
      <c r="A72" s="2" t="s">
        <v>414</v>
      </c>
      <c r="B72" s="2" t="s">
        <v>415</v>
      </c>
      <c r="C72" s="3"/>
      <c r="D72" s="2" t="s">
        <v>416</v>
      </c>
      <c r="E72" s="3"/>
      <c r="F72" s="2" t="s">
        <v>417</v>
      </c>
      <c r="G72" s="3"/>
      <c r="H72" s="3"/>
      <c r="I72" s="3"/>
    </row>
    <row r="73" spans="1:9">
      <c r="A73" s="2" t="s">
        <v>418</v>
      </c>
      <c r="B73" s="2" t="s">
        <v>419</v>
      </c>
      <c r="C73" s="3"/>
      <c r="D73" s="2" t="s">
        <v>148</v>
      </c>
      <c r="E73" s="3"/>
      <c r="F73" s="2" t="s">
        <v>406</v>
      </c>
      <c r="G73" s="3"/>
      <c r="H73" s="3"/>
      <c r="I73" s="3"/>
    </row>
    <row r="74" spans="1:9">
      <c r="A74" s="2" t="s">
        <v>420</v>
      </c>
      <c r="B74" s="2" t="s">
        <v>421</v>
      </c>
      <c r="C74" s="3"/>
      <c r="D74" s="2" t="s">
        <v>272</v>
      </c>
      <c r="E74" s="3"/>
      <c r="F74" s="2" t="s">
        <v>194</v>
      </c>
      <c r="G74" s="3"/>
      <c r="H74" s="3"/>
      <c r="I74" s="3"/>
    </row>
    <row r="75" spans="1:9">
      <c r="A75" s="2" t="s">
        <v>422</v>
      </c>
      <c r="B75" s="2" t="s">
        <v>423</v>
      </c>
      <c r="C75" s="3"/>
      <c r="D75" s="2" t="s">
        <v>424</v>
      </c>
      <c r="E75" s="3"/>
      <c r="F75" s="2" t="s">
        <v>106</v>
      </c>
      <c r="G75" s="3"/>
      <c r="H75" s="3"/>
      <c r="I75" s="3"/>
    </row>
    <row r="76" spans="1:9">
      <c r="A76" s="2" t="s">
        <v>425</v>
      </c>
      <c r="B76" s="2" t="s">
        <v>426</v>
      </c>
      <c r="C76" s="3"/>
      <c r="D76" s="2" t="s">
        <v>427</v>
      </c>
      <c r="E76" s="3"/>
      <c r="F76" s="2" t="s">
        <v>114</v>
      </c>
      <c r="G76" s="3"/>
      <c r="H76" s="3"/>
      <c r="I76" s="3"/>
    </row>
    <row r="77" spans="1:9">
      <c r="A77" s="2" t="s">
        <v>428</v>
      </c>
      <c r="B77" s="2" t="s">
        <v>429</v>
      </c>
      <c r="C77" s="3"/>
      <c r="D77" s="2" t="s">
        <v>430</v>
      </c>
      <c r="E77" s="3"/>
      <c r="F77" s="2" t="s">
        <v>121</v>
      </c>
      <c r="G77" s="3"/>
      <c r="H77" s="3"/>
      <c r="I77" s="3"/>
    </row>
    <row r="78" spans="1:9">
      <c r="A78" s="2" t="s">
        <v>431</v>
      </c>
      <c r="B78" s="2" t="s">
        <v>432</v>
      </c>
      <c r="C78" s="3"/>
      <c r="D78" s="2" t="s">
        <v>433</v>
      </c>
      <c r="E78" s="3"/>
      <c r="F78" s="2" t="s">
        <v>434</v>
      </c>
      <c r="G78" s="3"/>
      <c r="H78" s="3"/>
      <c r="I78" s="3"/>
    </row>
    <row r="79" spans="1:9">
      <c r="A79" s="2" t="s">
        <v>435</v>
      </c>
      <c r="B79" s="3"/>
      <c r="C79" s="3"/>
      <c r="D79" s="2" t="s">
        <v>392</v>
      </c>
      <c r="E79" s="3"/>
      <c r="F79" s="2" t="s">
        <v>127</v>
      </c>
      <c r="G79" s="3"/>
      <c r="H79" s="3"/>
      <c r="I79" s="3"/>
    </row>
    <row r="80" spans="1:9">
      <c r="A80" s="3"/>
      <c r="B80" s="3"/>
      <c r="C80" s="3"/>
      <c r="D80" s="2" t="s">
        <v>285</v>
      </c>
      <c r="E80" s="3"/>
      <c r="F80" s="2" t="s">
        <v>133</v>
      </c>
      <c r="G80" s="3"/>
      <c r="H80" s="3"/>
      <c r="I80" s="3"/>
    </row>
    <row r="81" spans="1:9">
      <c r="A81" s="3"/>
      <c r="B81" s="3"/>
      <c r="C81" s="3"/>
      <c r="D81" s="2" t="s">
        <v>436</v>
      </c>
      <c r="E81" s="3"/>
      <c r="F81" s="2" t="s">
        <v>437</v>
      </c>
      <c r="G81" s="3"/>
      <c r="H81" s="3"/>
      <c r="I81" s="3"/>
    </row>
    <row r="82" spans="1:9">
      <c r="A82" s="3"/>
      <c r="B82" s="3"/>
      <c r="C82" s="3"/>
      <c r="D82" s="2" t="s">
        <v>438</v>
      </c>
      <c r="E82" s="3"/>
      <c r="F82" s="2" t="s">
        <v>140</v>
      </c>
      <c r="G82" s="3"/>
      <c r="H82" s="3"/>
      <c r="I82" s="3"/>
    </row>
    <row r="83" spans="1:9">
      <c r="A83" s="3"/>
      <c r="B83" s="3"/>
      <c r="C83" s="3"/>
      <c r="D83" s="2" t="s">
        <v>439</v>
      </c>
      <c r="E83" s="3"/>
      <c r="F83" s="2" t="s">
        <v>267</v>
      </c>
      <c r="G83" s="3"/>
      <c r="H83" s="3"/>
      <c r="I83" s="3"/>
    </row>
    <row r="84" spans="1:9">
      <c r="A84" s="3"/>
      <c r="B84" s="3"/>
      <c r="C84" s="3"/>
      <c r="D84" s="2" t="s">
        <v>235</v>
      </c>
      <c r="E84" s="3"/>
      <c r="F84" s="2" t="s">
        <v>416</v>
      </c>
      <c r="G84" s="3"/>
      <c r="H84" s="3"/>
      <c r="I84" s="3"/>
    </row>
    <row r="85" spans="1:9">
      <c r="A85" s="3"/>
      <c r="B85" s="3"/>
      <c r="C85" s="3"/>
      <c r="D85" s="2" t="s">
        <v>230</v>
      </c>
      <c r="E85" s="3"/>
      <c r="F85" s="2" t="s">
        <v>148</v>
      </c>
      <c r="G85" s="3"/>
      <c r="H85" s="3"/>
      <c r="I85" s="3"/>
    </row>
    <row r="86" spans="1:9">
      <c r="A86" s="3"/>
      <c r="B86" s="3"/>
      <c r="C86" s="3"/>
      <c r="D86" s="2" t="s">
        <v>311</v>
      </c>
      <c r="E86" s="3"/>
      <c r="F86" s="2" t="s">
        <v>156</v>
      </c>
      <c r="G86" s="3"/>
      <c r="H86" s="3"/>
      <c r="I86" s="3"/>
    </row>
    <row r="87" spans="1:9">
      <c r="A87" s="3"/>
      <c r="B87" s="3"/>
      <c r="C87" s="3"/>
      <c r="D87" s="2" t="s">
        <v>440</v>
      </c>
      <c r="E87" s="3"/>
      <c r="F87" s="2" t="s">
        <v>164</v>
      </c>
      <c r="G87" s="3"/>
      <c r="H87" s="3"/>
      <c r="I87" s="3"/>
    </row>
    <row r="88" spans="1:9">
      <c r="A88" s="3"/>
      <c r="B88" s="3"/>
      <c r="C88" s="3"/>
      <c r="D88" s="2" t="s">
        <v>441</v>
      </c>
      <c r="E88" s="3"/>
      <c r="F88" s="2" t="s">
        <v>272</v>
      </c>
      <c r="G88" s="3"/>
      <c r="H88" s="3"/>
      <c r="I88" s="3"/>
    </row>
    <row r="89" spans="1:9">
      <c r="A89" s="3"/>
      <c r="B89" s="3"/>
      <c r="C89" s="3"/>
      <c r="D89" s="2" t="s">
        <v>442</v>
      </c>
      <c r="E89" s="3"/>
      <c r="F89" s="2" t="s">
        <v>171</v>
      </c>
      <c r="G89" s="3"/>
      <c r="H89" s="3"/>
      <c r="I89" s="3"/>
    </row>
    <row r="90" spans="1:9">
      <c r="A90" s="3"/>
      <c r="B90" s="3"/>
      <c r="C90" s="3"/>
      <c r="D90" s="2" t="s">
        <v>443</v>
      </c>
      <c r="E90" s="3"/>
      <c r="F90" s="2" t="s">
        <v>424</v>
      </c>
      <c r="G90" s="3"/>
      <c r="H90" s="3"/>
      <c r="I90" s="3"/>
    </row>
    <row r="91" spans="1:9">
      <c r="A91" s="3"/>
      <c r="B91" s="3"/>
      <c r="C91" s="3"/>
      <c r="D91" s="2" t="s">
        <v>444</v>
      </c>
      <c r="E91" s="3"/>
      <c r="F91" s="2" t="s">
        <v>178</v>
      </c>
      <c r="G91" s="3"/>
      <c r="H91" s="3"/>
      <c r="I91" s="3"/>
    </row>
    <row r="92" spans="1:9">
      <c r="A92" s="3"/>
      <c r="B92" s="3"/>
      <c r="C92" s="3"/>
      <c r="D92" s="2" t="s">
        <v>445</v>
      </c>
      <c r="E92" s="3"/>
      <c r="F92" s="2" t="s">
        <v>446</v>
      </c>
      <c r="G92" s="3"/>
      <c r="H92" s="3"/>
      <c r="I92" s="3"/>
    </row>
    <row r="93" spans="1:9">
      <c r="A93" s="3"/>
      <c r="B93" s="3"/>
      <c r="C93" s="3"/>
      <c r="D93" s="2" t="s">
        <v>447</v>
      </c>
      <c r="E93" s="3"/>
      <c r="F93" s="2" t="s">
        <v>448</v>
      </c>
      <c r="G93" s="3"/>
      <c r="H93" s="3"/>
      <c r="I93" s="3"/>
    </row>
    <row r="94" spans="1:9">
      <c r="A94" s="3"/>
      <c r="B94" s="3"/>
      <c r="C94" s="3"/>
      <c r="D94" s="2" t="s">
        <v>449</v>
      </c>
      <c r="E94" s="3"/>
      <c r="F94" s="2" t="s">
        <v>450</v>
      </c>
      <c r="G94" s="3"/>
      <c r="H94" s="3"/>
      <c r="I94" s="3"/>
    </row>
    <row r="95" spans="1:9">
      <c r="A95" s="3"/>
      <c r="B95" s="3"/>
      <c r="C95" s="3"/>
      <c r="D95" s="2" t="s">
        <v>451</v>
      </c>
      <c r="E95" s="3"/>
      <c r="F95" s="2" t="s">
        <v>452</v>
      </c>
      <c r="G95" s="3"/>
      <c r="H95" s="3"/>
      <c r="I95" s="3"/>
    </row>
    <row r="96" spans="1:9">
      <c r="A96" s="3"/>
      <c r="B96" s="3"/>
      <c r="C96" s="3"/>
      <c r="D96" s="2" t="s">
        <v>453</v>
      </c>
      <c r="E96" s="3"/>
      <c r="F96" s="2" t="s">
        <v>454</v>
      </c>
      <c r="G96" s="3"/>
      <c r="H96" s="3"/>
      <c r="I96" s="3"/>
    </row>
    <row r="97" spans="1:9">
      <c r="A97" s="3"/>
      <c r="B97" s="3"/>
      <c r="C97" s="3"/>
      <c r="D97" s="2" t="s">
        <v>261</v>
      </c>
      <c r="E97" s="3"/>
      <c r="F97" s="2" t="s">
        <v>356</v>
      </c>
      <c r="G97" s="3"/>
      <c r="H97" s="3"/>
      <c r="I97" s="3"/>
    </row>
    <row r="98" spans="1:9">
      <c r="A98" s="3"/>
      <c r="B98" s="3"/>
      <c r="C98" s="3"/>
      <c r="D98" s="2" t="s">
        <v>455</v>
      </c>
      <c r="E98" s="3"/>
      <c r="F98" s="2" t="s">
        <v>456</v>
      </c>
      <c r="G98" s="3"/>
      <c r="H98" s="3"/>
      <c r="I98" s="3"/>
    </row>
    <row r="99" spans="1:9">
      <c r="A99" s="3"/>
      <c r="B99" s="3"/>
      <c r="C99" s="3"/>
      <c r="D99" s="2" t="s">
        <v>457</v>
      </c>
      <c r="E99" s="3"/>
      <c r="F99" s="2" t="s">
        <v>458</v>
      </c>
      <c r="G99" s="3"/>
      <c r="H99" s="3"/>
      <c r="I99" s="3"/>
    </row>
    <row r="100" spans="1:9">
      <c r="A100" s="3"/>
      <c r="B100" s="3"/>
      <c r="C100" s="3"/>
      <c r="D100" s="2" t="s">
        <v>459</v>
      </c>
      <c r="E100" s="3"/>
      <c r="F100" s="2" t="s">
        <v>460</v>
      </c>
      <c r="G100" s="3"/>
      <c r="H100" s="3"/>
      <c r="I100" s="3"/>
    </row>
    <row r="101" spans="1:9">
      <c r="A101" s="3"/>
      <c r="B101" s="3"/>
      <c r="C101" s="3"/>
      <c r="D101" s="2" t="s">
        <v>424</v>
      </c>
      <c r="E101" s="3"/>
      <c r="F101" s="2" t="s">
        <v>461</v>
      </c>
      <c r="G101" s="3"/>
      <c r="H101" s="3"/>
      <c r="I101" s="3"/>
    </row>
    <row r="102" spans="1:9">
      <c r="A102" s="3"/>
      <c r="B102" s="3"/>
      <c r="C102" s="3"/>
      <c r="D102" s="2" t="s">
        <v>462</v>
      </c>
      <c r="E102" s="3"/>
      <c r="F102" s="2" t="s">
        <v>463</v>
      </c>
      <c r="G102" s="3"/>
      <c r="H102" s="3"/>
      <c r="I102" s="3"/>
    </row>
    <row r="103" spans="1:9">
      <c r="A103" s="3"/>
      <c r="B103" s="3"/>
      <c r="C103" s="3"/>
      <c r="D103" s="2" t="s">
        <v>464</v>
      </c>
      <c r="E103" s="3"/>
      <c r="F103" s="2" t="s">
        <v>186</v>
      </c>
      <c r="G103" s="3"/>
      <c r="H103" s="3"/>
      <c r="I103" s="3"/>
    </row>
    <row r="104" spans="1:9">
      <c r="A104" s="3"/>
      <c r="B104" s="3"/>
      <c r="C104" s="3"/>
      <c r="D104" s="2" t="s">
        <v>465</v>
      </c>
      <c r="E104" s="3"/>
      <c r="F104" s="2" t="s">
        <v>351</v>
      </c>
      <c r="G104" s="3"/>
      <c r="H104" s="3"/>
      <c r="I104" s="3"/>
    </row>
    <row r="105" spans="1:9">
      <c r="A105" s="3"/>
      <c r="B105" s="3"/>
      <c r="C105" s="3"/>
      <c r="D105" s="2" t="s">
        <v>466</v>
      </c>
      <c r="E105" s="3"/>
      <c r="F105" s="2" t="s">
        <v>467</v>
      </c>
      <c r="G105" s="3"/>
      <c r="H105" s="3"/>
      <c r="I105" s="3"/>
    </row>
    <row r="106" spans="1:9">
      <c r="A106" s="3"/>
      <c r="B106" s="3"/>
      <c r="C106" s="3"/>
      <c r="D106" s="2" t="s">
        <v>468</v>
      </c>
      <c r="E106" s="3"/>
      <c r="F106" s="2" t="s">
        <v>42</v>
      </c>
      <c r="G106" s="3"/>
      <c r="H106" s="3"/>
      <c r="I106" s="3"/>
    </row>
    <row r="107" spans="1:9">
      <c r="A107" s="3"/>
      <c r="B107" s="3"/>
      <c r="C107" s="3"/>
      <c r="D107" s="2" t="s">
        <v>453</v>
      </c>
      <c r="E107" s="3"/>
      <c r="F107" s="3"/>
      <c r="G107" s="3"/>
      <c r="H107" s="3"/>
      <c r="I107" s="3"/>
    </row>
    <row r="108" spans="1:9">
      <c r="A108" s="3"/>
      <c r="B108" s="3"/>
      <c r="C108" s="3"/>
      <c r="D108" s="2" t="s">
        <v>469</v>
      </c>
      <c r="E108" s="3"/>
      <c r="F108" s="3"/>
      <c r="G108" s="3"/>
      <c r="H108" s="3"/>
      <c r="I108" s="3"/>
    </row>
    <row r="109" spans="1:9">
      <c r="A109" s="3"/>
      <c r="B109" s="3"/>
      <c r="C109" s="3"/>
      <c r="D109" s="2" t="s">
        <v>470</v>
      </c>
      <c r="E109" s="3"/>
      <c r="F109" s="3"/>
      <c r="G109" s="3"/>
      <c r="H109" s="3"/>
      <c r="I109" s="3"/>
    </row>
    <row r="110" spans="1:9">
      <c r="A110" s="3"/>
      <c r="B110" s="3"/>
      <c r="C110" s="3"/>
      <c r="D110" s="2" t="s">
        <v>471</v>
      </c>
      <c r="E110" s="3"/>
      <c r="F110" s="3"/>
      <c r="G110" s="3"/>
      <c r="H110" s="3"/>
      <c r="I110" s="3"/>
    </row>
    <row r="111" spans="1:9">
      <c r="A111" s="3"/>
      <c r="B111" s="3"/>
      <c r="C111" s="3"/>
      <c r="D111" s="2" t="s">
        <v>472</v>
      </c>
      <c r="E111" s="3"/>
      <c r="F111" s="3"/>
      <c r="G111" s="3"/>
      <c r="H111" s="3"/>
      <c r="I111" s="3"/>
    </row>
    <row r="112" spans="1:9">
      <c r="A112" s="3"/>
      <c r="B112" s="3"/>
      <c r="C112" s="3"/>
      <c r="D112" s="3"/>
      <c r="E112" s="3"/>
      <c r="F112" s="3"/>
      <c r="G112" s="3"/>
      <c r="H112" s="3"/>
      <c r="I112" s="3"/>
    </row>
    <row r="113" spans="1:9">
      <c r="A113" s="3"/>
      <c r="B113" s="3"/>
      <c r="C113" s="3"/>
      <c r="D113" s="3"/>
      <c r="E113" s="3"/>
      <c r="F113" s="3"/>
      <c r="G113" s="3"/>
      <c r="H113" s="3"/>
      <c r="I113" s="3"/>
    </row>
    <row r="114" spans="1:9">
      <c r="A114" s="3"/>
      <c r="B114" s="3"/>
      <c r="C114" s="3"/>
      <c r="D114" s="3"/>
      <c r="E114" s="3"/>
      <c r="F114" s="3"/>
      <c r="G114" s="3"/>
      <c r="H114" s="3"/>
      <c r="I114" s="3"/>
    </row>
    <row r="115" spans="1:9">
      <c r="A115" s="3"/>
      <c r="B115" s="3"/>
      <c r="C115" s="3"/>
      <c r="D115" s="3"/>
      <c r="E115" s="3"/>
      <c r="F115" s="3"/>
      <c r="G115" s="3"/>
      <c r="H115" s="3"/>
      <c r="I115" s="3"/>
    </row>
    <row r="116" spans="1:9">
      <c r="A116" s="3"/>
      <c r="B116" s="3"/>
      <c r="C116" s="3"/>
      <c r="D116" s="3"/>
      <c r="E116" s="3"/>
      <c r="F116" s="3"/>
      <c r="G116" s="3"/>
      <c r="H116" s="3"/>
      <c r="I116" s="3"/>
    </row>
    <row r="117" spans="1:9">
      <c r="A117" s="3"/>
      <c r="B117" s="3"/>
      <c r="C117" s="3"/>
      <c r="D117" s="3"/>
      <c r="E117" s="3"/>
      <c r="F117" s="3"/>
      <c r="G117" s="3"/>
      <c r="H117" s="3"/>
      <c r="I117" s="3"/>
    </row>
    <row r="118" spans="1:9">
      <c r="A118" s="3"/>
      <c r="B118" s="3"/>
      <c r="C118" s="3"/>
      <c r="D118" s="3"/>
      <c r="E118" s="3"/>
      <c r="F118" s="3"/>
      <c r="G118" s="3"/>
      <c r="H118" s="3"/>
      <c r="I118" s="3"/>
    </row>
    <row r="119" spans="1:9">
      <c r="A119" s="3"/>
      <c r="B119" s="3"/>
      <c r="C119" s="3"/>
      <c r="D119" s="3"/>
      <c r="E119" s="3"/>
      <c r="F119" s="3"/>
      <c r="G119" s="3"/>
      <c r="H119" s="3"/>
      <c r="I119" s="3"/>
    </row>
    <row r="120" spans="1:9">
      <c r="A120" s="3"/>
      <c r="B120" s="3"/>
      <c r="C120" s="3"/>
      <c r="D120" s="3"/>
      <c r="E120" s="3"/>
      <c r="F120" s="3"/>
      <c r="G120" s="3"/>
      <c r="H120" s="3"/>
      <c r="I120" s="3"/>
    </row>
    <row r="121" spans="1:9">
      <c r="A121" s="3"/>
      <c r="B121" s="3"/>
      <c r="C121" s="3"/>
      <c r="D121" s="3"/>
      <c r="E121" s="3"/>
      <c r="F121" s="3"/>
      <c r="G121" s="3"/>
      <c r="H121" s="3"/>
      <c r="I121" s="3"/>
    </row>
    <row r="122" spans="1:9">
      <c r="A122" s="3"/>
      <c r="B122" s="3"/>
      <c r="C122" s="3"/>
      <c r="D122" s="3"/>
      <c r="E122" s="3"/>
      <c r="F122" s="3"/>
      <c r="G122" s="3"/>
      <c r="H122" s="3"/>
      <c r="I122" s="3"/>
    </row>
    <row r="123" spans="1:9">
      <c r="A123" s="3"/>
      <c r="B123" s="3"/>
      <c r="C123" s="3"/>
      <c r="D123" s="3"/>
      <c r="E123" s="3"/>
      <c r="F123" s="3"/>
      <c r="G123" s="3"/>
      <c r="H123" s="3"/>
      <c r="I123" s="3"/>
    </row>
    <row r="124" spans="1:9">
      <c r="A124" s="3"/>
      <c r="B124" s="3"/>
      <c r="C124" s="3"/>
      <c r="D124" s="3"/>
      <c r="E124" s="3"/>
      <c r="F124" s="3"/>
      <c r="G124" s="3"/>
      <c r="H124" s="3"/>
      <c r="I124" s="3"/>
    </row>
    <row r="125" spans="1:9">
      <c r="A125" s="3"/>
      <c r="B125" s="3"/>
      <c r="C125" s="3"/>
      <c r="D125" s="3"/>
      <c r="E125" s="3"/>
      <c r="F125" s="3"/>
      <c r="G125" s="3"/>
      <c r="H125" s="3"/>
      <c r="I125" s="3"/>
    </row>
    <row r="126" spans="1:9">
      <c r="A126" s="3"/>
      <c r="B126" s="3"/>
      <c r="C126" s="3"/>
      <c r="D126" s="3"/>
      <c r="E126" s="3"/>
      <c r="F126" s="3"/>
      <c r="G126" s="3"/>
      <c r="H126" s="3"/>
      <c r="I126" s="3"/>
    </row>
    <row r="127" spans="1:9">
      <c r="A127" s="3"/>
      <c r="B127" s="3"/>
      <c r="C127" s="3"/>
      <c r="D127" s="3"/>
      <c r="E127" s="3"/>
      <c r="F127" s="3"/>
      <c r="G127" s="3"/>
      <c r="H127" s="3"/>
      <c r="I127" s="3"/>
    </row>
    <row r="128" spans="1:9">
      <c r="A128" s="3"/>
      <c r="B128" s="3"/>
      <c r="C128" s="3"/>
      <c r="D128" s="3"/>
      <c r="E128" s="3"/>
      <c r="F128" s="3"/>
      <c r="G128" s="3"/>
      <c r="H128" s="3"/>
      <c r="I128" s="3"/>
    </row>
    <row r="129" spans="1:9">
      <c r="A129" s="3"/>
      <c r="B129" s="3"/>
      <c r="C129" s="3"/>
      <c r="D129" s="3"/>
      <c r="E129" s="3"/>
      <c r="F129" s="3"/>
      <c r="G129" s="3"/>
      <c r="H129" s="3"/>
      <c r="I129" s="3"/>
    </row>
    <row r="130" spans="1:9">
      <c r="A130" s="3"/>
      <c r="B130" s="3"/>
      <c r="C130" s="3"/>
      <c r="D130" s="3"/>
      <c r="E130" s="3"/>
      <c r="F130" s="3"/>
      <c r="G130" s="3"/>
      <c r="H130" s="3"/>
      <c r="I130" s="3"/>
    </row>
    <row r="131" spans="1:9">
      <c r="A131" s="3"/>
      <c r="B131" s="3"/>
      <c r="C131" s="3"/>
      <c r="D131" s="3"/>
      <c r="E131" s="3"/>
      <c r="F131" s="3"/>
      <c r="G131" s="3"/>
      <c r="H131" s="3"/>
      <c r="I131" s="3"/>
    </row>
    <row r="132" spans="1:9">
      <c r="A132" s="3"/>
      <c r="B132" s="3"/>
      <c r="C132" s="3"/>
      <c r="D132" s="3"/>
      <c r="E132" s="3"/>
      <c r="F132" s="3"/>
      <c r="G132" s="3"/>
      <c r="H132" s="3"/>
      <c r="I132" s="3"/>
    </row>
    <row r="133" spans="1:9">
      <c r="A133" s="3"/>
      <c r="B133" s="3"/>
      <c r="C133" s="3"/>
      <c r="D133" s="3"/>
      <c r="E133" s="3"/>
      <c r="F133" s="3"/>
      <c r="G133" s="3"/>
      <c r="H133" s="3"/>
      <c r="I133" s="3"/>
    </row>
    <row r="134" spans="1:9">
      <c r="A134" s="3"/>
      <c r="B134" s="3"/>
      <c r="C134" s="3"/>
      <c r="D134" s="3"/>
      <c r="E134" s="3"/>
      <c r="F134" s="3"/>
      <c r="G134" s="3"/>
      <c r="H134" s="3"/>
      <c r="I134" s="3"/>
    </row>
    <row r="135" spans="1:9">
      <c r="A135" s="3"/>
      <c r="B135" s="3"/>
      <c r="C135" s="3"/>
      <c r="D135" s="3"/>
      <c r="E135" s="3"/>
      <c r="F135" s="3"/>
      <c r="G135" s="3"/>
      <c r="H135" s="3"/>
      <c r="I135" s="3"/>
    </row>
    <row r="136" spans="1:9">
      <c r="A136" s="3"/>
      <c r="B136" s="3"/>
      <c r="C136" s="3"/>
      <c r="D136" s="3"/>
      <c r="E136" s="3"/>
      <c r="F136" s="3"/>
      <c r="G136" s="3"/>
      <c r="H136" s="3"/>
      <c r="I136" s="3"/>
    </row>
    <row r="137" spans="1:9">
      <c r="A137" s="3"/>
      <c r="B137" s="3"/>
      <c r="C137" s="3"/>
      <c r="D137" s="3"/>
      <c r="E137" s="3"/>
      <c r="F137" s="3"/>
      <c r="G137" s="3"/>
      <c r="H137" s="3"/>
      <c r="I137" s="3"/>
    </row>
    <row r="138" spans="1:9">
      <c r="A138" s="3"/>
      <c r="B138" s="3"/>
      <c r="C138" s="3"/>
      <c r="D138" s="3"/>
      <c r="E138" s="3"/>
      <c r="F138" s="3"/>
      <c r="G138" s="3"/>
      <c r="H138" s="3"/>
      <c r="I138" s="3"/>
    </row>
    <row r="139" spans="1:9">
      <c r="A139" s="3"/>
      <c r="B139" s="3"/>
      <c r="C139" s="3"/>
      <c r="D139" s="3"/>
      <c r="E139" s="3"/>
      <c r="F139" s="3"/>
      <c r="G139" s="3"/>
      <c r="H139" s="3"/>
      <c r="I139" s="3"/>
    </row>
    <row r="140" spans="1:9">
      <c r="A140" s="3"/>
      <c r="B140" s="3"/>
      <c r="C140" s="3"/>
      <c r="D140" s="3"/>
      <c r="E140" s="3"/>
      <c r="F140" s="3"/>
      <c r="G140" s="3"/>
      <c r="H140" s="3"/>
      <c r="I140" s="3"/>
    </row>
    <row r="141" spans="1:9">
      <c r="A141" s="3"/>
      <c r="B141" s="3"/>
      <c r="C141" s="3"/>
      <c r="D141" s="3"/>
      <c r="E141" s="3"/>
      <c r="F141" s="3"/>
      <c r="G141" s="3"/>
      <c r="H141" s="3"/>
      <c r="I141" s="3"/>
    </row>
    <row r="143" spans="1:9" ht="39.75" customHeight="1">
      <c r="A143" s="9" t="s">
        <v>473</v>
      </c>
      <c r="B143" s="9"/>
      <c r="C143" s="9"/>
      <c r="D143" s="9"/>
      <c r="E143" s="9"/>
      <c r="F143" s="9"/>
      <c r="G143" s="9"/>
      <c r="H143" s="9"/>
      <c r="I143" s="9"/>
    </row>
  </sheetData>
  <sheetProtection password="CCC5" sheet="1" formatCells="0" formatColumns="0" formatRows="0" sort="0" autoFilter="0"/>
  <mergeCells count="2">
    <mergeCell ref="A1:I1"/>
    <mergeCell ref="A143:I143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rightToLeft="1" zoomScaleNormal="100" workbookViewId="0"/>
  </sheetViews>
  <sheetFormatPr defaultColWidth="8.6640625" defaultRowHeight="14.25"/>
  <sheetData>
    <row r="1" spans="1:13">
      <c r="A1" s="4" t="s">
        <v>474</v>
      </c>
      <c r="B1" s="4" t="s">
        <v>475</v>
      </c>
      <c r="C1" s="4" t="s">
        <v>476</v>
      </c>
      <c r="D1" s="4" t="s">
        <v>477</v>
      </c>
      <c r="E1" s="4" t="s">
        <v>478</v>
      </c>
      <c r="G1" s="5" t="s">
        <v>479</v>
      </c>
      <c r="H1" s="6" t="s">
        <v>480</v>
      </c>
      <c r="I1" s="5" t="s">
        <v>481</v>
      </c>
    </row>
    <row r="2" spans="1:13">
      <c r="A2" s="6" t="s">
        <v>0</v>
      </c>
      <c r="B2" t="s">
        <v>11</v>
      </c>
      <c r="C2" s="6" t="s">
        <v>482</v>
      </c>
      <c r="D2" s="6" t="s">
        <v>483</v>
      </c>
      <c r="E2" s="6" t="s">
        <v>1</v>
      </c>
      <c r="G2" t="s">
        <v>484</v>
      </c>
      <c r="H2" s="6" t="s">
        <v>485</v>
      </c>
      <c r="I2" t="s">
        <v>484</v>
      </c>
      <c r="J2" t="e">
        <f>IF($A2=#REF!,"",COUNTIFS($A$2:$A2,"&lt;&gt;"&amp;#REF!))</f>
        <v>#REF!</v>
      </c>
      <c r="K2" t="str">
        <f>IFERROR(INDEX($A$2:$A$14,MATCH(1,$J$2:$J$14,0)),"")</f>
        <v/>
      </c>
      <c r="M2" s="7">
        <v>45870</v>
      </c>
    </row>
    <row r="3" spans="1:13">
      <c r="A3" s="6" t="s">
        <v>2</v>
      </c>
      <c r="B3" t="s">
        <v>12</v>
      </c>
      <c r="C3" s="6" t="s">
        <v>486</v>
      </c>
      <c r="D3" s="6" t="s">
        <v>487</v>
      </c>
      <c r="E3" t="s">
        <v>481</v>
      </c>
      <c r="G3" t="s">
        <v>488</v>
      </c>
      <c r="H3" s="6" t="s">
        <v>477</v>
      </c>
      <c r="I3" t="s">
        <v>489</v>
      </c>
      <c r="J3" t="e">
        <f>IF($A3=#REF!,"",COUNTIFS($A$2:$A3,"&lt;&gt;"&amp;#REF!))</f>
        <v>#REF!</v>
      </c>
      <c r="K3" t="str">
        <f>IFERROR(INDEX($A$2:$A$14,MATCH(2,$J$2:$J$14,0)),"")</f>
        <v/>
      </c>
      <c r="M3" s="7">
        <v>45901</v>
      </c>
    </row>
    <row r="4" spans="1:13">
      <c r="A4" s="6" t="s">
        <v>3</v>
      </c>
      <c r="B4" t="s">
        <v>13</v>
      </c>
      <c r="C4" s="6" t="s">
        <v>490</v>
      </c>
      <c r="G4" t="s">
        <v>491</v>
      </c>
      <c r="H4" s="6" t="s">
        <v>492</v>
      </c>
      <c r="I4" t="s">
        <v>491</v>
      </c>
      <c r="J4" t="e">
        <f>IF($A4=#REF!,"",COUNTIFS($A$2:$A4,"&lt;&gt;"&amp;#REF!))</f>
        <v>#REF!</v>
      </c>
      <c r="K4" t="str">
        <f>IFERROR(INDEX($A$2:$A$14,MATCH(3,$J$2:$J$14,0)),"")</f>
        <v/>
      </c>
      <c r="M4" s="7">
        <v>45931</v>
      </c>
    </row>
    <row r="5" spans="1:13">
      <c r="A5" s="6" t="s">
        <v>4</v>
      </c>
      <c r="B5" t="s">
        <v>14</v>
      </c>
      <c r="C5" s="6" t="s">
        <v>493</v>
      </c>
      <c r="G5" t="s">
        <v>494</v>
      </c>
      <c r="H5" s="6" t="s">
        <v>495</v>
      </c>
      <c r="I5" t="s">
        <v>494</v>
      </c>
      <c r="J5" t="e">
        <f>IF($A5=#REF!,"",COUNTIFS($A$2:$A5,"&lt;&gt;"&amp;#REF!))</f>
        <v>#REF!</v>
      </c>
      <c r="K5" t="str">
        <f>IFERROR(INDEX($A$2:$A$14,MATCH(4,$J$2:$J$14,0)),"")</f>
        <v/>
      </c>
      <c r="M5" s="7">
        <v>45962</v>
      </c>
    </row>
    <row r="6" spans="1:13">
      <c r="A6" s="6" t="s">
        <v>5</v>
      </c>
      <c r="B6" t="s">
        <v>15</v>
      </c>
      <c r="G6" t="s">
        <v>496</v>
      </c>
      <c r="H6" s="6" t="s">
        <v>497</v>
      </c>
      <c r="I6" t="s">
        <v>498</v>
      </c>
      <c r="J6" t="e">
        <f>IF($A6=#REF!,"",COUNTIFS($A$2:$A6,"&lt;&gt;"&amp;#REF!))</f>
        <v>#REF!</v>
      </c>
      <c r="K6" t="str">
        <f>IFERROR(INDEX($A$2:$A$14,MATCH(5,$J$2:$J$14,0)),"")</f>
        <v/>
      </c>
      <c r="M6" s="7">
        <v>45992</v>
      </c>
    </row>
    <row r="7" spans="1:13">
      <c r="A7" s="6" t="s">
        <v>6</v>
      </c>
      <c r="B7" t="s">
        <v>16</v>
      </c>
      <c r="G7" t="s">
        <v>499</v>
      </c>
      <c r="H7" s="6" t="s">
        <v>476</v>
      </c>
      <c r="I7" t="s">
        <v>499</v>
      </c>
      <c r="J7" t="e">
        <f>IF($A7=#REF!,"",COUNTIFS($A$2:$A7,"&lt;&gt;"&amp;#REF!))</f>
        <v>#REF!</v>
      </c>
      <c r="K7" t="str">
        <f>IFERROR(INDEX($A$2:$A$14,MATCH(6,$J$2:$J$14,0)),"")</f>
        <v/>
      </c>
      <c r="M7" s="7">
        <v>46023</v>
      </c>
    </row>
    <row r="8" spans="1:13">
      <c r="A8" s="6" t="s">
        <v>7</v>
      </c>
      <c r="B8" t="s">
        <v>17</v>
      </c>
      <c r="G8" t="s">
        <v>500</v>
      </c>
      <c r="H8" s="6" t="s">
        <v>501</v>
      </c>
      <c r="I8" t="s">
        <v>502</v>
      </c>
      <c r="J8" t="e">
        <f>IF($A8=#REF!,"",COUNTIFS($A$2:$A8,"&lt;&gt;"&amp;#REF!))</f>
        <v>#REF!</v>
      </c>
      <c r="K8" t="str">
        <f>IFERROR(INDEX($A$2:$A$14,MATCH(7,$J$2:$J$14,0)),"")</f>
        <v/>
      </c>
      <c r="M8" s="7">
        <v>46054</v>
      </c>
    </row>
    <row r="9" spans="1:13">
      <c r="A9" s="6" t="s">
        <v>8</v>
      </c>
      <c r="B9" t="s">
        <v>18</v>
      </c>
      <c r="G9" t="s">
        <v>503</v>
      </c>
      <c r="H9" s="6" t="s">
        <v>504</v>
      </c>
      <c r="I9" t="s">
        <v>505</v>
      </c>
      <c r="J9" t="e">
        <f>IF($A9=#REF!,"",COUNTIFS($A$2:$A9,"&lt;&gt;"&amp;#REF!))</f>
        <v>#REF!</v>
      </c>
      <c r="K9" t="str">
        <f>IFERROR(INDEX($A$2:$A$14,MATCH(8,$J$2:$J$14,0)),"")</f>
        <v/>
      </c>
      <c r="M9" s="7">
        <v>46082</v>
      </c>
    </row>
    <row r="10" spans="1:13">
      <c r="A10" s="6" t="s">
        <v>9</v>
      </c>
      <c r="B10" t="s">
        <v>19</v>
      </c>
      <c r="G10" t="s">
        <v>506</v>
      </c>
      <c r="H10" s="6" t="s">
        <v>507</v>
      </c>
      <c r="I10" t="s">
        <v>506</v>
      </c>
      <c r="J10" t="e">
        <f>IF($A10=#REF!,"",COUNTIFS($A$2:$A10,"&lt;&gt;"&amp;#REF!))</f>
        <v>#REF!</v>
      </c>
      <c r="K10" t="str">
        <f>IFERROR(INDEX($A$2:$A$14,MATCH(9,$J$2:$J$14,0)),"")</f>
        <v/>
      </c>
      <c r="M10" s="7">
        <v>46113</v>
      </c>
    </row>
    <row r="11" spans="1:13">
      <c r="A11" s="6" t="s">
        <v>10</v>
      </c>
      <c r="G11" t="s">
        <v>508</v>
      </c>
      <c r="H11" s="6" t="s">
        <v>509</v>
      </c>
      <c r="I11" t="s">
        <v>510</v>
      </c>
      <c r="J11" t="e">
        <f>IF($A11=#REF!,"",COUNTIFS($A$2:$A11,"&lt;&gt;"&amp;#REF!))</f>
        <v>#REF!</v>
      </c>
      <c r="K11" t="str">
        <f>IFERROR(INDEX($A$2:$A$14,MATCH(10,$J$2:$J$14,0)),"")</f>
        <v/>
      </c>
      <c r="M11" s="7">
        <v>46143</v>
      </c>
    </row>
    <row r="12" spans="1:13">
      <c r="A12" s="6" t="s">
        <v>511</v>
      </c>
      <c r="G12" t="s">
        <v>512</v>
      </c>
      <c r="H12" s="6" t="s">
        <v>513</v>
      </c>
      <c r="I12" t="s">
        <v>514</v>
      </c>
      <c r="J12" t="e">
        <f>IF($A12=#REF!,"",COUNTIFS($A$2:$A12,"&lt;&gt;"&amp;#REF!))</f>
        <v>#REF!</v>
      </c>
      <c r="K12" t="str">
        <f>IFERROR(INDEX($A$2:$A$14,MATCH(11,$J$2:$J$14,0)),"")</f>
        <v/>
      </c>
      <c r="M12" s="7">
        <v>46174</v>
      </c>
    </row>
    <row r="13" spans="1:13">
      <c r="A13" s="6" t="s">
        <v>515</v>
      </c>
      <c r="G13" t="s">
        <v>516</v>
      </c>
      <c r="H13" s="6" t="s">
        <v>517</v>
      </c>
      <c r="I13" t="s">
        <v>518</v>
      </c>
      <c r="J13" t="e">
        <f>IF($A13=#REF!,"",COUNTIFS($A$2:$A13,"&lt;&gt;"&amp;#REF!))</f>
        <v>#REF!</v>
      </c>
      <c r="K13" t="str">
        <f>IFERROR(INDEX($A$2:$A$14,MATCH(12,$J$2:$J$14,0)),"")</f>
        <v/>
      </c>
      <c r="M13" s="7">
        <v>46204</v>
      </c>
    </row>
    <row r="14" spans="1:13">
      <c r="A14" s="6" t="s">
        <v>519</v>
      </c>
      <c r="G14" t="s">
        <v>520</v>
      </c>
      <c r="H14" s="6" t="s">
        <v>521</v>
      </c>
      <c r="I14" t="s">
        <v>522</v>
      </c>
      <c r="J14" t="e">
        <f>IF($A14=#REF!,"",COUNTIFS($A$2:$A14,"&lt;&gt;"&amp;#REF!))</f>
        <v>#REF!</v>
      </c>
      <c r="K14" t="str">
        <f>IFERROR(INDEX($A$2:$A$14,MATCH(13,$J$2:$J$14,0)),"")</f>
        <v/>
      </c>
      <c r="M14" s="7">
        <v>46235</v>
      </c>
    </row>
    <row r="15" spans="1:13">
      <c r="G15" t="s">
        <v>523</v>
      </c>
      <c r="H15" s="6" t="s">
        <v>524</v>
      </c>
      <c r="I15" t="s">
        <v>505</v>
      </c>
      <c r="M15" s="7">
        <v>46266</v>
      </c>
    </row>
    <row r="16" spans="1:13">
      <c r="G16" t="s">
        <v>525</v>
      </c>
      <c r="H16" s="6" t="s">
        <v>482</v>
      </c>
      <c r="I16" t="s">
        <v>526</v>
      </c>
      <c r="M16" s="7">
        <v>46296</v>
      </c>
    </row>
    <row r="17" spans="7:13">
      <c r="G17" t="s">
        <v>527</v>
      </c>
      <c r="H17" s="6" t="s">
        <v>486</v>
      </c>
      <c r="I17" t="s">
        <v>528</v>
      </c>
      <c r="M17" s="7">
        <v>46327</v>
      </c>
    </row>
    <row r="18" spans="7:13">
      <c r="G18" t="s">
        <v>529</v>
      </c>
      <c r="H18" s="6" t="s">
        <v>490</v>
      </c>
      <c r="I18" t="s">
        <v>530</v>
      </c>
      <c r="M18" s="7">
        <v>46357</v>
      </c>
    </row>
    <row r="19" spans="7:13">
      <c r="G19" t="s">
        <v>531</v>
      </c>
      <c r="H19" s="6" t="s">
        <v>493</v>
      </c>
      <c r="I19" t="s">
        <v>532</v>
      </c>
      <c r="M19" s="7">
        <v>46388</v>
      </c>
    </row>
    <row r="20" spans="7:13">
      <c r="G20" t="s">
        <v>533</v>
      </c>
      <c r="H20" s="6" t="s">
        <v>534</v>
      </c>
      <c r="I20" t="s">
        <v>535</v>
      </c>
      <c r="M20" s="7">
        <v>46419</v>
      </c>
    </row>
    <row r="21" spans="7:13">
      <c r="G21" t="s">
        <v>536</v>
      </c>
      <c r="H21" s="6" t="s">
        <v>537</v>
      </c>
      <c r="I21" t="s">
        <v>538</v>
      </c>
      <c r="M21" s="7">
        <v>46447</v>
      </c>
    </row>
    <row r="22" spans="7:13">
      <c r="G22" t="s">
        <v>539</v>
      </c>
      <c r="H22" s="6" t="s">
        <v>540</v>
      </c>
      <c r="I22" t="s">
        <v>541</v>
      </c>
      <c r="M22" s="7">
        <v>46478</v>
      </c>
    </row>
    <row r="23" spans="7:13">
      <c r="G23" t="s">
        <v>542</v>
      </c>
      <c r="H23" s="6" t="s">
        <v>543</v>
      </c>
      <c r="I23" t="s">
        <v>544</v>
      </c>
      <c r="M23" s="7">
        <v>46508</v>
      </c>
    </row>
    <row r="24" spans="7:13">
      <c r="G24" t="s">
        <v>545</v>
      </c>
      <c r="H24" s="6" t="s">
        <v>546</v>
      </c>
      <c r="I24" t="s">
        <v>547</v>
      </c>
      <c r="M24" s="7">
        <v>46539</v>
      </c>
    </row>
    <row r="25" spans="7:13">
      <c r="G25" t="s">
        <v>548</v>
      </c>
      <c r="H25" s="6" t="s">
        <v>478</v>
      </c>
      <c r="I25" t="s">
        <v>549</v>
      </c>
      <c r="M25" s="7">
        <v>46569</v>
      </c>
    </row>
    <row r="26" spans="7:13">
      <c r="G26" t="s">
        <v>550</v>
      </c>
      <c r="H26" s="6" t="s">
        <v>551</v>
      </c>
      <c r="I26" t="s">
        <v>552</v>
      </c>
      <c r="M26" s="7">
        <v>46600</v>
      </c>
    </row>
    <row r="27" spans="7:13">
      <c r="G27" t="s">
        <v>553</v>
      </c>
      <c r="H27" s="6" t="s">
        <v>554</v>
      </c>
      <c r="I27" t="s">
        <v>555</v>
      </c>
      <c r="M27" s="7">
        <v>46631</v>
      </c>
    </row>
    <row r="28" spans="7:13">
      <c r="G28" t="s">
        <v>556</v>
      </c>
      <c r="H28" s="6" t="s">
        <v>557</v>
      </c>
      <c r="I28" t="s">
        <v>558</v>
      </c>
      <c r="M28" s="7">
        <v>46661</v>
      </c>
    </row>
    <row r="29" spans="7:13">
      <c r="G29" t="s">
        <v>559</v>
      </c>
      <c r="H29" s="6" t="s">
        <v>560</v>
      </c>
      <c r="I29" t="s">
        <v>561</v>
      </c>
      <c r="M29" s="7">
        <v>46692</v>
      </c>
    </row>
    <row r="30" spans="7:13">
      <c r="G30" t="s">
        <v>562</v>
      </c>
      <c r="H30" s="6" t="s">
        <v>563</v>
      </c>
      <c r="I30" t="s">
        <v>564</v>
      </c>
      <c r="M30" s="7">
        <v>46722</v>
      </c>
    </row>
    <row r="31" spans="7:13">
      <c r="G31" t="s">
        <v>565</v>
      </c>
      <c r="H31" s="6" t="s">
        <v>566</v>
      </c>
      <c r="I31" t="s">
        <v>567</v>
      </c>
      <c r="M31" s="7">
        <v>46753</v>
      </c>
    </row>
    <row r="32" spans="7:13">
      <c r="G32" t="s">
        <v>568</v>
      </c>
      <c r="H32" s="6" t="s">
        <v>569</v>
      </c>
      <c r="I32" t="s">
        <v>570</v>
      </c>
      <c r="M32" s="7">
        <v>46784</v>
      </c>
    </row>
    <row r="33" spans="7:13">
      <c r="G33" t="s">
        <v>571</v>
      </c>
      <c r="H33" s="6" t="s">
        <v>572</v>
      </c>
      <c r="I33" t="s">
        <v>573</v>
      </c>
      <c r="M33" s="7">
        <v>46813</v>
      </c>
    </row>
    <row r="34" spans="7:13">
      <c r="G34" t="s">
        <v>574</v>
      </c>
      <c r="H34" s="6" t="s">
        <v>575</v>
      </c>
      <c r="I34" t="s">
        <v>576</v>
      </c>
      <c r="M34" s="7">
        <v>46844</v>
      </c>
    </row>
    <row r="35" spans="7:13">
      <c r="G35" t="s">
        <v>577</v>
      </c>
      <c r="H35" s="6" t="s">
        <v>578</v>
      </c>
      <c r="I35" t="s">
        <v>579</v>
      </c>
      <c r="M35" s="7">
        <v>46874</v>
      </c>
    </row>
    <row r="36" spans="7:13">
      <c r="G36" t="s">
        <v>580</v>
      </c>
      <c r="H36" s="6" t="s">
        <v>581</v>
      </c>
      <c r="I36" t="s">
        <v>582</v>
      </c>
      <c r="M36" s="7">
        <v>46905</v>
      </c>
    </row>
    <row r="37" spans="7:13">
      <c r="G37" t="s">
        <v>583</v>
      </c>
      <c r="H37" s="6" t="s">
        <v>584</v>
      </c>
      <c r="I37" t="s">
        <v>585</v>
      </c>
      <c r="M37" s="7">
        <v>46935</v>
      </c>
    </row>
    <row r="38" spans="7:13">
      <c r="G38" t="s">
        <v>586</v>
      </c>
      <c r="H38" s="6" t="s">
        <v>587</v>
      </c>
      <c r="I38" t="s">
        <v>588</v>
      </c>
      <c r="M38" s="7">
        <v>46966</v>
      </c>
    </row>
    <row r="39" spans="7:13">
      <c r="G39" t="s">
        <v>589</v>
      </c>
      <c r="H39" s="6" t="s">
        <v>492</v>
      </c>
      <c r="I39" t="s">
        <v>491</v>
      </c>
    </row>
    <row r="40" spans="7:13">
      <c r="G40" t="s">
        <v>590</v>
      </c>
      <c r="H40" s="6" t="s">
        <v>591</v>
      </c>
      <c r="I40" t="s">
        <v>592</v>
      </c>
    </row>
    <row r="41" spans="7:13">
      <c r="G41" t="s">
        <v>593</v>
      </c>
      <c r="H41" s="6" t="s">
        <v>594</v>
      </c>
      <c r="I41" t="s">
        <v>595</v>
      </c>
    </row>
    <row r="42" spans="7:13">
      <c r="G42" t="s">
        <v>596</v>
      </c>
      <c r="H42" s="6" t="s">
        <v>597</v>
      </c>
      <c r="I42" t="s">
        <v>598</v>
      </c>
    </row>
    <row r="43" spans="7:13">
      <c r="G43" t="s">
        <v>599</v>
      </c>
      <c r="H43" s="6" t="s">
        <v>600</v>
      </c>
      <c r="I43" t="s">
        <v>601</v>
      </c>
    </row>
    <row r="44" spans="7:13">
      <c r="G44" t="s">
        <v>602</v>
      </c>
      <c r="H44" s="6" t="s">
        <v>603</v>
      </c>
      <c r="I44" t="s">
        <v>604</v>
      </c>
    </row>
    <row r="45" spans="7:13">
      <c r="G45" t="s">
        <v>605</v>
      </c>
      <c r="H45" s="6" t="s">
        <v>606</v>
      </c>
      <c r="I45" t="s">
        <v>607</v>
      </c>
    </row>
    <row r="46" spans="7:13">
      <c r="G46" t="s">
        <v>608</v>
      </c>
      <c r="H46" s="6" t="s">
        <v>609</v>
      </c>
      <c r="I46" t="s">
        <v>610</v>
      </c>
    </row>
  </sheetData>
  <sheetProtection password="CCC5" sheet="1" formatCells="0" formatColumns="0" formatRows="0" sort="0" autoFilter="0"/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الأصناف</vt:lpstr>
      <vt:lpstr>Lists</vt:lpstr>
      <vt:lpstr>Bakery</vt:lpstr>
      <vt:lpstr>Barista</vt:lpstr>
      <vt:lpstr>Bastery</vt:lpstr>
      <vt:lpstr>Bizza</vt:lpstr>
      <vt:lpstr>box_bb</vt:lpstr>
      <vt:lpstr>Branches_List</vt:lpstr>
      <vt:lpstr>Categories_List</vt:lpstr>
      <vt:lpstr>Finish_bakery</vt:lpstr>
      <vt:lpstr>Finish_item_bastry</vt:lpstr>
      <vt:lpstr>Language_List</vt:lpstr>
      <vt:lpstr>MonthOptions_List</vt:lpstr>
      <vt:lpstr>MoveType_List</vt:lpstr>
      <vt:lpstr>OtherBranches_List</vt:lpstr>
      <vt:lpstr>packing_items</vt:lpstr>
      <vt:lpstr>الأصناف!Print_Area</vt:lpstr>
      <vt:lpstr>الأصناف!Print_Titles</vt:lpstr>
      <vt:lpstr>Salad_and_sandwi</vt:lpstr>
      <vt:lpstr>Units_List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ibrahim ghalwash</cp:lastModifiedBy>
  <cp:revision>1</cp:revision>
  <dcterms:created xsi:type="dcterms:W3CDTF">2026-08-18T23:33:19Z</dcterms:created>
  <dcterms:modified xsi:type="dcterms:W3CDTF">2026-09-15T17:31:52Z</dcterms:modified>
  <dc:language>en-US</dc:language>
</cp:coreProperties>
</file>