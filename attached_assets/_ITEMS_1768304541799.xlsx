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13_ncr:1_{69ECDEA0-35E5-9F4A-B9CC-F79CB3D278B3}" xr6:coauthVersionLast="47" xr6:coauthVersionMax="47" xr10:uidLastSave="{00000000-0000-0000-0000-000000000000}"/>
  <bookViews>
    <workbookView xWindow="4660" yWindow="500" windowWidth="35840" windowHeight="20620" xr2:uid="{00000000-000D-0000-FFFF-FFFF00000000}"/>
  </bookViews>
  <sheets>
    <sheet name="BB ITEM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D121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</calcChain>
</file>

<file path=xl/sharedStrings.xml><?xml version="1.0" encoding="utf-8"?>
<sst xmlns="http://schemas.openxmlformats.org/spreadsheetml/2006/main" count="503" uniqueCount="340">
  <si>
    <t>Section</t>
  </si>
  <si>
    <t>Bakery</t>
  </si>
  <si>
    <t>Pastry</t>
  </si>
  <si>
    <t>French omelette</t>
  </si>
  <si>
    <t>Brioche Tunna</t>
  </si>
  <si>
    <t>Mini Triple Danish savoy</t>
  </si>
  <si>
    <t>Brioche Smoked Turkey</t>
  </si>
  <si>
    <t>Eggs Benedict Croissant – Smoked Salmon</t>
  </si>
  <si>
    <t>Mini Triple Croissant Savory</t>
  </si>
  <si>
    <t>Eggs Benedict Croissant , Roast Beef</t>
  </si>
  <si>
    <t>Turkish egg</t>
  </si>
  <si>
    <t>Bruschetta egg</t>
  </si>
  <si>
    <t>French toast</t>
  </si>
  <si>
    <t>Menemen</t>
  </si>
  <si>
    <t>granola</t>
  </si>
  <si>
    <t>Box Danish savory</t>
  </si>
  <si>
    <t>Brioche Birsaola</t>
  </si>
  <si>
    <t>Brioche Haloumey</t>
  </si>
  <si>
    <t>Breakfast</t>
  </si>
  <si>
    <t>Halloumi Sandwich -</t>
  </si>
  <si>
    <t>حلومي ساندويتش بتربيكري</t>
  </si>
  <si>
    <t>Brown tuna sandwich</t>
  </si>
  <si>
    <t xml:space="preserve"> ساندوتش براون تونة</t>
  </si>
  <si>
    <t>Avocado Scrumble croissant</t>
  </si>
  <si>
    <t>أفوكادو سكرمبل كرواسون</t>
  </si>
  <si>
    <t xml:space="preserve">Turkey Ciabbata </t>
  </si>
  <si>
    <t>شباطا التركي المدخن</t>
  </si>
  <si>
    <t>Egg and cheese</t>
  </si>
  <si>
    <t xml:space="preserve">كرواسون بيض جبنة </t>
  </si>
  <si>
    <t>بريوش تونة</t>
  </si>
  <si>
    <t>بروسكيتا بيض مع شيدر</t>
  </si>
  <si>
    <t>Bruschetta Egg Cheddar</t>
  </si>
  <si>
    <t>Signuture croissant</t>
  </si>
  <si>
    <t xml:space="preserve">كرواسون السجنتشر </t>
  </si>
  <si>
    <t>بريوش تركى مدخن</t>
  </si>
  <si>
    <t>بروسكيتا البيض</t>
  </si>
  <si>
    <t>اسكرمبل البيض والأفوكادو</t>
  </si>
  <si>
    <t xml:space="preserve"> Avocado Scramble</t>
  </si>
  <si>
    <t>فرنش توست</t>
  </si>
  <si>
    <t>جرانولا</t>
  </si>
  <si>
    <t>بيض تركى</t>
  </si>
  <si>
    <t>CHICKEN CIABBATA</t>
  </si>
  <si>
    <t>شباطا الدجاج</t>
  </si>
  <si>
    <t xml:space="preserve">منيمين </t>
  </si>
  <si>
    <t>بريوش حلومى</t>
  </si>
  <si>
    <t>كرواسون تونه</t>
  </si>
  <si>
    <t xml:space="preserve">Croissant tuna  </t>
  </si>
  <si>
    <t>بيض ترافل</t>
  </si>
  <si>
    <t xml:space="preserve">Trufflle egg </t>
  </si>
  <si>
    <t>فوكاشيا تركى</t>
  </si>
  <si>
    <t>Turkey Focaccia</t>
  </si>
  <si>
    <t>ساندوتش البيض اليوناني</t>
  </si>
  <si>
    <t>greek Scrumble Sandwich</t>
  </si>
  <si>
    <t xml:space="preserve">أومليت فرنسى </t>
  </si>
  <si>
    <t xml:space="preserve"> سلطة دجاج</t>
  </si>
  <si>
    <t xml:space="preserve">Chicken salad </t>
  </si>
  <si>
    <t>أميريكان ايج</t>
  </si>
  <si>
    <t xml:space="preserve">American egg </t>
  </si>
  <si>
    <t xml:space="preserve"> سلطة باربكيو الحلومي</t>
  </si>
  <si>
    <t xml:space="preserve">Halloumi BBQ Salad </t>
  </si>
  <si>
    <t>سبايسى براون تونة</t>
  </si>
  <si>
    <t>Spicy Brown Tunna</t>
  </si>
  <si>
    <t>بيض بنديكت كرواسون مع روستدبيف</t>
  </si>
  <si>
    <t>بريوش بيرزاولا</t>
  </si>
  <si>
    <t>بيض بنديكت كرواسون مع سالمون</t>
  </si>
  <si>
    <t>بوكس دانش مالح</t>
  </si>
  <si>
    <t>رويال بيندكيت</t>
  </si>
  <si>
    <t xml:space="preserve">ROYAL PENDICT  </t>
  </si>
  <si>
    <t>بيض بروسكيتا</t>
  </si>
  <si>
    <t xml:space="preserve">Egg bruschetta  </t>
  </si>
  <si>
    <t>ميني دانِش ثلاثي بحشوات مالحة</t>
  </si>
  <si>
    <t xml:space="preserve">Beet root Salad </t>
  </si>
  <si>
    <t>سلطة شمندر</t>
  </si>
  <si>
    <t>ميني كرواسون مالح (3 قطع)</t>
  </si>
  <si>
    <t>Avocado scramble cubs</t>
  </si>
  <si>
    <r>
      <t xml:space="preserve"> </t>
    </r>
    <r>
      <rPr>
        <b/>
        <sz val="11"/>
        <color theme="1"/>
        <rFont val="Calibri"/>
        <family val="2"/>
        <scheme val="minor"/>
      </rPr>
      <t>مكعبات كرواسون أفوكادو مع البيض الاسكرمبل</t>
    </r>
  </si>
  <si>
    <t>خبز 🥖 براون bag</t>
  </si>
  <si>
    <t>Matilda croissant Pecan</t>
  </si>
  <si>
    <t>ميني ماتيلدا كروسون</t>
  </si>
  <si>
    <t>دانش شمر تشيز + الطماطم المجففة</t>
  </si>
  <si>
    <t>Matilda Croissant Nutella</t>
  </si>
  <si>
    <t>Brown Bread</t>
  </si>
  <si>
    <t>خبز الفوكاتشيا</t>
  </si>
  <si>
    <t>Focaccia bread</t>
  </si>
  <si>
    <t>خبز السميط التركي</t>
  </si>
  <si>
    <t>3 Turkish Simit pcs</t>
  </si>
  <si>
    <t>دانش فواكه</t>
  </si>
  <si>
    <t xml:space="preserve">Danish fruits </t>
  </si>
  <si>
    <t>نوتيلا رول</t>
  </si>
  <si>
    <t>Nutella roll</t>
  </si>
  <si>
    <t>خبز الشيباتا الإيطالي</t>
  </si>
  <si>
    <t>3 Italian Ciabatta pcs</t>
  </si>
  <si>
    <t>خبز بريوش</t>
  </si>
  <si>
    <t xml:space="preserve">Brioche bread </t>
  </si>
  <si>
    <t>خبز الكرواسون برد</t>
  </si>
  <si>
    <t>3pcs Croissant Bread</t>
  </si>
  <si>
    <t xml:space="preserve">تشوكلت ماري توزو </t>
  </si>
  <si>
    <t>Maritozzo Choclate</t>
  </si>
  <si>
    <t>روستد بيف مع جبنة و زيتون</t>
  </si>
  <si>
    <t>Roasted beef cheese,olive</t>
  </si>
  <si>
    <t>دانش بار لبنة و زعتر</t>
  </si>
  <si>
    <t>فلكي بان سويس</t>
  </si>
  <si>
    <t>Flaky Pain Suisse</t>
  </si>
  <si>
    <t>Danish Bar Labna And Thyme</t>
  </si>
  <si>
    <t>ماتيلدا كرواسون بيكان</t>
  </si>
  <si>
    <t>ساوردو</t>
  </si>
  <si>
    <t xml:space="preserve">Sourdough bread </t>
  </si>
  <si>
    <t>دانيش دقة</t>
  </si>
  <si>
    <t>Danish Douqqa</t>
  </si>
  <si>
    <t>Mini Matilda Croissant</t>
  </si>
  <si>
    <t>شوكو براونى سويس</t>
  </si>
  <si>
    <t xml:space="preserve">CHOCO BROWNIE SWISS </t>
  </si>
  <si>
    <t>Pecan  ROOL</t>
  </si>
  <si>
    <t>رول كروسون بيكان</t>
  </si>
  <si>
    <t>دانش تيراميسو</t>
  </si>
  <si>
    <t>Tiramisue Danish</t>
  </si>
  <si>
    <t>لندن دونت بيكان</t>
  </si>
  <si>
    <t>London Donut peacan</t>
  </si>
  <si>
    <t>دانش التين</t>
  </si>
  <si>
    <t>Fig Danish</t>
  </si>
  <si>
    <t>كوكيز كرواسون</t>
  </si>
  <si>
    <t>cookies croissant</t>
  </si>
  <si>
    <t>لندن دونت زعتر</t>
  </si>
  <si>
    <t>London donut thyme</t>
  </si>
  <si>
    <t>رازبيرى بان سويس</t>
  </si>
  <si>
    <t>RASPBERRY PAIN SWISS</t>
  </si>
  <si>
    <t>Danish Shammar + Sundried Tomatto</t>
  </si>
  <si>
    <t xml:space="preserve"> كرواسون سادة</t>
  </si>
  <si>
    <t xml:space="preserve">plain croissant </t>
  </si>
  <si>
    <t>كرواسون جبنة</t>
  </si>
  <si>
    <t>Cheese Croissant</t>
  </si>
  <si>
    <t>دانش بيستو</t>
  </si>
  <si>
    <t>Danish pesto</t>
  </si>
  <si>
    <t>كرواسون بيكان فرنسى</t>
  </si>
  <si>
    <t xml:space="preserve">French croissant pecan </t>
  </si>
  <si>
    <t>كرواسون اللوز</t>
  </si>
  <si>
    <t>ماتيلدا كرواسون نوتيلا</t>
  </si>
  <si>
    <t>كرواسون شوكولاته</t>
  </si>
  <si>
    <t xml:space="preserve">Croissant Chocolate </t>
  </si>
  <si>
    <t xml:space="preserve">Almond croissant </t>
  </si>
  <si>
    <t>لندن تشيز بن</t>
  </si>
  <si>
    <t xml:space="preserve"> London Cheese Bun</t>
  </si>
  <si>
    <t xml:space="preserve"> دانش كريمة فرنسية</t>
  </si>
  <si>
    <t>Danish French Cream</t>
  </si>
  <si>
    <t>Employee pizza</t>
  </si>
  <si>
    <t>Pizza cone mix cheese</t>
  </si>
  <si>
    <t>Chicken Truffle Flat Pizza</t>
  </si>
  <si>
    <t>Pizza cone turkey</t>
  </si>
  <si>
    <t xml:space="preserve">بيتزا مي - رانش </t>
  </si>
  <si>
    <t>Pizza Me - Runch</t>
  </si>
  <si>
    <t>مارجريتا بيتزا</t>
  </si>
  <si>
    <t>Margherita Pizza</t>
  </si>
  <si>
    <t>بتزا بوراتا - بيستو</t>
  </si>
  <si>
    <t xml:space="preserve">ساندويتش ديك رومي </t>
  </si>
  <si>
    <t>Turkey Sandwich</t>
  </si>
  <si>
    <t>PIZZA Burrata - Pesto</t>
  </si>
  <si>
    <t>بتزا بوراتا - عسل</t>
  </si>
  <si>
    <t>PIZZA Burrata - Hony</t>
  </si>
  <si>
    <t>بيتزا مارجريتا فلات</t>
  </si>
  <si>
    <t>Pizza Margrita Flat</t>
  </si>
  <si>
    <t xml:space="preserve"> بتزا ترافل</t>
  </si>
  <si>
    <t xml:space="preserve">Pizza TARTUFO </t>
  </si>
  <si>
    <t xml:space="preserve">فوكاشيا لبنة وزعتر </t>
  </si>
  <si>
    <t>FOCACIA Labna and thyme</t>
  </si>
  <si>
    <t>فوكاشيا بلبنة</t>
  </si>
  <si>
    <t>Focaccia di labna</t>
  </si>
  <si>
    <t>بيتزا روكولا فلات</t>
  </si>
  <si>
    <t>pizza roculla flat</t>
  </si>
  <si>
    <t xml:space="preserve"> بيتزا رانش فلات</t>
  </si>
  <si>
    <t xml:space="preserve">Pizza Ruch Flat </t>
  </si>
  <si>
    <t>ساندويتش لحم بقر</t>
  </si>
  <si>
    <t>Beef Sandwich</t>
  </si>
  <si>
    <t>ساندويتش بيبروني</t>
  </si>
  <si>
    <t>Pepproni Sandwich</t>
  </si>
  <si>
    <t>سبشيال هوت تشكن بتزا</t>
  </si>
  <si>
    <t>special hot chicken pizza</t>
  </si>
  <si>
    <t xml:space="preserve">بيتزا مي، روكولا </t>
  </si>
  <si>
    <t>Pizz Me, Rucola</t>
  </si>
  <si>
    <t>بتزا كواترو فروماج</t>
  </si>
  <si>
    <t>Pizza quattro fromage</t>
  </si>
  <si>
    <t xml:space="preserve">pizza truffle flat </t>
  </si>
  <si>
    <t xml:space="preserve"> بيتزا ترافل فلات</t>
  </si>
  <si>
    <t>بيتزا ميكس أجبان</t>
  </si>
  <si>
    <t>pizza mix cheese</t>
  </si>
  <si>
    <t>بتزا موظفين</t>
  </si>
  <si>
    <t xml:space="preserve"> - Pizza Quattro Fromage ( flat )</t>
  </si>
  <si>
    <t>بيتزا كواترو فورماج فلات</t>
  </si>
  <si>
    <t>بيتزا كون مكس أجبان</t>
  </si>
  <si>
    <t xml:space="preserve"> أومليت بيتزا</t>
  </si>
  <si>
    <t xml:space="preserve">omlete pizza </t>
  </si>
  <si>
    <t xml:space="preserve"> PIZZA Burrata  balsmec</t>
  </si>
  <si>
    <t xml:space="preserve">بتزا بوراتا بالسميك </t>
  </si>
  <si>
    <t xml:space="preserve">sourdough Beef </t>
  </si>
  <si>
    <t>فوكاتشا-روستد بيف</t>
  </si>
  <si>
    <t>pepproni DI MANZO -</t>
  </si>
  <si>
    <t xml:space="preserve"> بيتزا بيبروني مانزو</t>
  </si>
  <si>
    <t xml:space="preserve">بيتزا فلات </t>
  </si>
  <si>
    <t xml:space="preserve">بيتزا كون تركى </t>
  </si>
  <si>
    <t xml:space="preserve">pizza puratta flat </t>
  </si>
  <si>
    <t>بيتزا بورتا فلات</t>
  </si>
  <si>
    <t>Choclate Matilda</t>
  </si>
  <si>
    <t>Ice man 2026</t>
  </si>
  <si>
    <t>Pudding dates</t>
  </si>
  <si>
    <t>Pizza</t>
  </si>
  <si>
    <t>كريم بروليه تشيز كيك</t>
  </si>
  <si>
    <t>Crem Brulee Cheese cake</t>
  </si>
  <si>
    <t>B.B Cake</t>
  </si>
  <si>
    <t xml:space="preserve"> بى بى كيك</t>
  </si>
  <si>
    <t>ماتيلدا شوكولاته</t>
  </si>
  <si>
    <t xml:space="preserve"> كيك سان سابستيان</t>
  </si>
  <si>
    <t>san Sebastian cake</t>
  </si>
  <si>
    <t xml:space="preserve"> كيك العسل ميجا</t>
  </si>
  <si>
    <t xml:space="preserve">Honey cake </t>
  </si>
  <si>
    <t>مدريد تشيز كيك فانيلا</t>
  </si>
  <si>
    <t>Madrid cheesecake vanilla</t>
  </si>
  <si>
    <t>كرامليتو</t>
  </si>
  <si>
    <t>Caramelito</t>
  </si>
  <si>
    <t>روشيه</t>
  </si>
  <si>
    <t>rocher</t>
  </si>
  <si>
    <t>Brawinse crunchy</t>
  </si>
  <si>
    <t xml:space="preserve"> بودنج كرنشي</t>
  </si>
  <si>
    <t>Mix berry tart</t>
  </si>
  <si>
    <t>تارت مكس بيرى</t>
  </si>
  <si>
    <t>تارت بيكان</t>
  </si>
  <si>
    <t>pecan tart</t>
  </si>
  <si>
    <t xml:space="preserve">Winter tea </t>
  </si>
  <si>
    <t>شاي الشتاء</t>
  </si>
  <si>
    <t>تيرامسيو</t>
  </si>
  <si>
    <t xml:space="preserve">Tiramisu </t>
  </si>
  <si>
    <t>أيس مان 2026</t>
  </si>
  <si>
    <t>مدريد تشيز كيك تشوكلت</t>
  </si>
  <si>
    <t>Madrid Cheescake Chocolate</t>
  </si>
  <si>
    <t>choclate cookies</t>
  </si>
  <si>
    <t>كوكيز شوكولاته</t>
  </si>
  <si>
    <t xml:space="preserve">Red velvet </t>
  </si>
  <si>
    <t>كيك ريد فالفت</t>
  </si>
  <si>
    <t>Crunchy Choclate</t>
  </si>
  <si>
    <t xml:space="preserve"> كرنشى تشوكلت</t>
  </si>
  <si>
    <t>orange slice cake</t>
  </si>
  <si>
    <t>كيك برتقال سلايس</t>
  </si>
  <si>
    <t>بودينج التمر</t>
  </si>
  <si>
    <t>كيك برتقال فرنسى</t>
  </si>
  <si>
    <t>French orange cake</t>
  </si>
  <si>
    <t xml:space="preserve"> كيك ليمون فرنسى</t>
  </si>
  <si>
    <t xml:space="preserve"> كيك ليمون سلايس</t>
  </si>
  <si>
    <t xml:space="preserve">French lemon cake </t>
  </si>
  <si>
    <t xml:space="preserve">Lemon slice cake </t>
  </si>
  <si>
    <t>ICE COFFEE DAY</t>
  </si>
  <si>
    <t>Coffee Day Butterbeaker</t>
  </si>
  <si>
    <t>v60 بارد \ cold</t>
  </si>
  <si>
    <t>v60</t>
  </si>
  <si>
    <t>هوت شوكلت فرنسا كلاسيك</t>
  </si>
  <si>
    <t>V60 + raspberry - في 60 توت</t>
  </si>
  <si>
    <t>box coffee</t>
  </si>
  <si>
    <t>V 60 بن يمنى بارد</t>
  </si>
  <si>
    <t>V 60 بن يمنى حار</t>
  </si>
  <si>
    <t>كوب قهوة عربى 9oz</t>
  </si>
  <si>
    <t>دلة قهوة عربى</t>
  </si>
  <si>
    <t>كوب قهوة عربى 12oz</t>
  </si>
  <si>
    <t xml:space="preserve">قهوة اليوم بارد </t>
  </si>
  <si>
    <t>قهوة اليوم حار</t>
  </si>
  <si>
    <t>water</t>
  </si>
  <si>
    <t xml:space="preserve">ماء </t>
  </si>
  <si>
    <t>هوت شوكليت</t>
  </si>
  <si>
    <t xml:space="preserve">Hot chocolate Barista </t>
  </si>
  <si>
    <t xml:space="preserve">v60 بارد </t>
  </si>
  <si>
    <t>شاى</t>
  </si>
  <si>
    <t>tea</t>
  </si>
  <si>
    <t>كابتشينو</t>
  </si>
  <si>
    <t>cappuccino</t>
  </si>
  <si>
    <t>فلات وايت</t>
  </si>
  <si>
    <t>Flat white</t>
  </si>
  <si>
    <t xml:space="preserve"> latte</t>
  </si>
  <si>
    <t>لاتيه</t>
  </si>
  <si>
    <t>عصير برتقال</t>
  </si>
  <si>
    <t>Orange juice</t>
  </si>
  <si>
    <t xml:space="preserve"> سبانش لاتيه حار</t>
  </si>
  <si>
    <t>Spanish latte hot</t>
  </si>
  <si>
    <t>Classic Hot Choclate</t>
  </si>
  <si>
    <t xml:space="preserve"> ماتشا</t>
  </si>
  <si>
    <t xml:space="preserve">Matcha </t>
  </si>
  <si>
    <t>امريكانو</t>
  </si>
  <si>
    <t>amricano</t>
  </si>
  <si>
    <t>carcadeh</t>
  </si>
  <si>
    <t xml:space="preserve">كركديه </t>
  </si>
  <si>
    <t>سبانش لاتيه بارد</t>
  </si>
  <si>
    <t>Spanish latte Cold</t>
  </si>
  <si>
    <t>v 60 راسبيرى</t>
  </si>
  <si>
    <t>espresso</t>
  </si>
  <si>
    <t xml:space="preserve">اسبريسو </t>
  </si>
  <si>
    <t>cortado</t>
  </si>
  <si>
    <t>كورتادو</t>
  </si>
  <si>
    <t>شاى أخضر</t>
  </si>
  <si>
    <t>green tea</t>
  </si>
  <si>
    <t>Breeze Mix Berries</t>
  </si>
  <si>
    <t>بريز ميكس بيرى</t>
  </si>
  <si>
    <t>ايس تى خوخ</t>
  </si>
  <si>
    <t>ice tea</t>
  </si>
  <si>
    <t>بريز بلو بيرى</t>
  </si>
  <si>
    <t>BREEZE BLUE BERRY</t>
  </si>
  <si>
    <t>سبشيال أيس أمريكانو</t>
  </si>
  <si>
    <t>Special ice amricano</t>
  </si>
  <si>
    <t>machiato</t>
  </si>
  <si>
    <t xml:space="preserve">ماكياتو </t>
  </si>
  <si>
    <t>بوكس قهوة اليوم</t>
  </si>
  <si>
    <t>بريز فراولة</t>
  </si>
  <si>
    <t>Strawberry breeze</t>
  </si>
  <si>
    <t>Lemon breeze</t>
  </si>
  <si>
    <t>بريز ليمون</t>
  </si>
  <si>
    <t>بريز باشون فروت</t>
  </si>
  <si>
    <t>BREEZE PASSION FRUIT</t>
  </si>
  <si>
    <t>Arabic Coffee Cub 9oz</t>
  </si>
  <si>
    <t>Arabic Coffee Dalla</t>
  </si>
  <si>
    <t>Arabic Coffee Cub 12 oz</t>
  </si>
  <si>
    <t>Barista</t>
  </si>
  <si>
    <t>بوكس مينى كرواسون حالى 4pcs</t>
  </si>
  <si>
    <t>Redvelvet And Coffee Gatherings</t>
  </si>
  <si>
    <t>Croissant And Coffee Get Togethers</t>
  </si>
  <si>
    <t>بوكس مينى دانش 3 PCs</t>
  </si>
  <si>
    <t>Honey Cake And Coffee Get Togethers</t>
  </si>
  <si>
    <t>Box Mini Croissant Savoury 4 pcs</t>
  </si>
  <si>
    <t>جمعات مينى ريد فلفت و القهوة</t>
  </si>
  <si>
    <t>بوكس مينى داش</t>
  </si>
  <si>
    <t xml:space="preserve">mini danish box </t>
  </si>
  <si>
    <t>جمعات مينى كرواسون و القهوة</t>
  </si>
  <si>
    <t>Box Mini Danish 3pcs</t>
  </si>
  <si>
    <t>عرض الكرنشى تشوكلت</t>
  </si>
  <si>
    <t>Crunchy Chocolate Offer</t>
  </si>
  <si>
    <t>بوكس مينى كيكة عسل</t>
  </si>
  <si>
    <t>Mini honey cake box</t>
  </si>
  <si>
    <t>جمعات مينى كيكة عسل و القهوة</t>
  </si>
  <si>
    <t xml:space="preserve"> بوكس مينى كيك ريدفلفت</t>
  </si>
  <si>
    <t>Mini red velvet box</t>
  </si>
  <si>
    <t xml:space="preserve"> بوكس مينى كرواسون</t>
  </si>
  <si>
    <t>Mini croissant box</t>
  </si>
  <si>
    <t>Gatherings</t>
  </si>
  <si>
    <t xml:space="preserve">Price no vat </t>
  </si>
  <si>
    <t xml:space="preserve">Price  with vat </t>
  </si>
  <si>
    <t xml:space="preserve">Item Arabic name </t>
  </si>
  <si>
    <t xml:space="preserve">Item English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</si>
</sst>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17" fillId="8" borderId="7" applyNumberFormat="0" applyAlignment="0" applyProtection="0"/>
    <xf numFmtId="0" fontId="18" fillId="0" borderId="0" applyNumberFormat="0" applyFill="0" applyBorder="0" applyAlignment="0" applyProtection="0"/>
    <xf numFmtId="0" fontId="5" fillId="9" borderId="8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20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0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0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0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0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0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43" fontId="5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/>
    <xf numFmtId="0" fontId="3" fillId="0" borderId="0" xfId="0" applyFont="1" applyAlignment="1">
      <alignment wrapText="1"/>
    </xf>
    <xf numFmtId="0" fontId="4" fillId="0" borderId="0" xfId="0" applyFont="1" applyAlignment="1">
      <alignment horizontal="right" vertical="center" readingOrder="1"/>
    </xf>
    <xf numFmtId="0" fontId="2" fillId="0" borderId="0" xfId="0" applyFont="1"/>
    <xf numFmtId="43" fontId="0" fillId="0" borderId="0" xfId="42" applyFont="1"/>
    <xf numFmtId="0" fontId="1" fillId="2" borderId="10" xfId="0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mosta/Downloads/&#1578;&#1581;&#1604;&#1610;&#1604;%20&#1575;&#1604;&#1602;&#1575;&#1574;&#1605;&#1577;%20Report%20(29).xls" TargetMode="External"/><Relationship Id="rId1" Type="http://schemas.openxmlformats.org/officeDocument/2006/relationships/externalLinkPath" Target="file:///C:/Users/mosta/Downloads/&#1578;&#1581;&#1604;&#1610;&#1604;%20&#1575;&#1604;&#1602;&#1575;&#1574;&#1605;&#1577;%20Report%20(29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7">
          <cell r="B7">
            <v>29800.07993</v>
          </cell>
          <cell r="C7">
            <v>1365</v>
          </cell>
        </row>
        <row r="8">
          <cell r="B8">
            <v>28481.392039999999</v>
          </cell>
          <cell r="C8">
            <v>1167</v>
          </cell>
        </row>
        <row r="9">
          <cell r="B9">
            <v>23041.52174</v>
          </cell>
          <cell r="C9">
            <v>1145</v>
          </cell>
        </row>
        <row r="10">
          <cell r="B10">
            <v>24202.802500000002</v>
          </cell>
          <cell r="C10">
            <v>1033</v>
          </cell>
        </row>
        <row r="11">
          <cell r="B11">
            <v>24241.87</v>
          </cell>
          <cell r="C11">
            <v>996</v>
          </cell>
        </row>
        <row r="12">
          <cell r="B12">
            <v>30211.281940000001</v>
          </cell>
          <cell r="C12">
            <v>938</v>
          </cell>
        </row>
        <row r="13">
          <cell r="B13">
            <v>21737.051200000002</v>
          </cell>
          <cell r="C13">
            <v>895</v>
          </cell>
        </row>
        <row r="14">
          <cell r="B14">
            <v>11552.535</v>
          </cell>
          <cell r="C14">
            <v>390</v>
          </cell>
        </row>
        <row r="15">
          <cell r="B15">
            <v>5416</v>
          </cell>
          <cell r="C15">
            <v>337</v>
          </cell>
        </row>
        <row r="16">
          <cell r="B16">
            <v>6408.15</v>
          </cell>
          <cell r="C16">
            <v>255</v>
          </cell>
        </row>
        <row r="17">
          <cell r="B17">
            <v>2100.8629999999998</v>
          </cell>
          <cell r="C17">
            <v>151</v>
          </cell>
        </row>
        <row r="18">
          <cell r="B18">
            <v>1257.3</v>
          </cell>
          <cell r="C18">
            <v>127</v>
          </cell>
        </row>
        <row r="19">
          <cell r="B19">
            <v>2843.15652</v>
          </cell>
          <cell r="C19">
            <v>126</v>
          </cell>
        </row>
        <row r="20">
          <cell r="B20">
            <v>2060</v>
          </cell>
          <cell r="C20">
            <v>103</v>
          </cell>
        </row>
        <row r="21">
          <cell r="B21">
            <v>2759.47856</v>
          </cell>
          <cell r="C21">
            <v>86</v>
          </cell>
        </row>
        <row r="22">
          <cell r="B22">
            <v>1038.18</v>
          </cell>
          <cell r="C22">
            <v>78</v>
          </cell>
        </row>
        <row r="23">
          <cell r="B23">
            <v>1752.8695700000001</v>
          </cell>
          <cell r="C23">
            <v>71</v>
          </cell>
        </row>
        <row r="24">
          <cell r="B24">
            <v>1217.384</v>
          </cell>
          <cell r="C24">
            <v>56</v>
          </cell>
        </row>
        <row r="25">
          <cell r="B25">
            <v>182.60865000000001</v>
          </cell>
          <cell r="C25">
            <v>35</v>
          </cell>
        </row>
        <row r="27">
          <cell r="B27">
            <v>22.608000000000001</v>
          </cell>
          <cell r="C27">
            <v>2</v>
          </cell>
        </row>
        <row r="28">
          <cell r="B28">
            <v>82</v>
          </cell>
          <cell r="C28">
            <v>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enu" displayName="tblMenu" ref="A1:E167">
  <autoFilter ref="A1:E167" xr:uid="{00000000-0009-0000-0100-000001000000}"/>
  <tableColumns count="5">
    <tableColumn id="1" xr3:uid="{00000000-0010-0000-0000-000001000000}" name="Section"/>
    <tableColumn id="2" xr3:uid="{00000000-0010-0000-0000-000002000000}" name="Item English name "/>
    <tableColumn id="13" xr3:uid="{3EA7F2D4-C39A-4C3A-AA02-7B03E8CCEDBC}" name="Item Arabic name "/>
    <tableColumn id="3" xr3:uid="{00000000-0010-0000-0000-000003000000}" name="Price no vat "/>
    <tableColumn id="4" xr3:uid="{92C2D22B-32B5-0A4F-9C0B-9408FFDEC1E9}" name="Price  with vat " dataCellStyle="Comma">
      <calculatedColumnFormula>tblMenu[[#This Row],[Price no vat ]]*15%+tblMenu[[#This Row],[Price no vat 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workbookViewId="0">
      <pane ySplit="1" topLeftCell="A2" activePane="bottomLeft" state="frozen"/>
      <selection pane="bottomLeft" activeCell="N27" sqref="N27"/>
    </sheetView>
  </sheetViews>
  <sheetFormatPr baseColWidth="10" defaultColWidth="8.83203125" defaultRowHeight="15" x14ac:dyDescent="0.2"/>
  <cols>
    <col min="1" max="1" width="16" customWidth="1"/>
    <col min="2" max="3" width="30" customWidth="1"/>
    <col min="4" max="4" width="35.6640625" customWidth="1"/>
    <col min="5" max="5" width="21.1640625" style="6" customWidth="1"/>
  </cols>
  <sheetData>
    <row r="1" spans="1:5" ht="16" thickBot="1" x14ac:dyDescent="0.25">
      <c r="A1" s="1" t="s">
        <v>0</v>
      </c>
      <c r="B1" s="7" t="s">
        <v>339</v>
      </c>
      <c r="C1" s="1" t="s">
        <v>338</v>
      </c>
      <c r="D1" s="1" t="s">
        <v>336</v>
      </c>
      <c r="E1" s="1" t="s">
        <v>337</v>
      </c>
    </row>
    <row r="2" spans="1:5" ht="16" thickTop="1" x14ac:dyDescent="0.2">
      <c r="A2" t="s">
        <v>18</v>
      </c>
      <c r="B2" s="3" t="s">
        <v>19</v>
      </c>
      <c r="C2" s="3" t="s">
        <v>20</v>
      </c>
      <c r="D2" s="4">
        <v>25.6</v>
      </c>
      <c r="E2" s="6">
        <f>tblMenu[[#This Row],[Price no vat ]]*15%+tblMenu[[#This Row],[Price no vat ]]</f>
        <v>29.44</v>
      </c>
    </row>
    <row r="3" spans="1:5" x14ac:dyDescent="0.2">
      <c r="A3" t="s">
        <v>18</v>
      </c>
      <c r="B3" s="3" t="s">
        <v>21</v>
      </c>
      <c r="C3" s="3" t="s">
        <v>22</v>
      </c>
      <c r="D3" s="4">
        <v>22.84</v>
      </c>
      <c r="E3" s="6">
        <f>tblMenu[[#This Row],[Price no vat ]]*15%+tblMenu[[#This Row],[Price no vat ]]</f>
        <v>26.265999999999998</v>
      </c>
    </row>
    <row r="4" spans="1:5" x14ac:dyDescent="0.2">
      <c r="A4" t="s">
        <v>18</v>
      </c>
      <c r="B4" s="3" t="s">
        <v>23</v>
      </c>
      <c r="C4" s="3" t="s">
        <v>24</v>
      </c>
      <c r="D4" s="4">
        <v>23.48</v>
      </c>
      <c r="E4" s="6">
        <f>tblMenu[[#This Row],[Price no vat ]]*15%+tblMenu[[#This Row],[Price no vat ]]</f>
        <v>27.001999999999999</v>
      </c>
    </row>
    <row r="5" spans="1:5" x14ac:dyDescent="0.2">
      <c r="A5" t="s">
        <v>18</v>
      </c>
      <c r="B5" s="3" t="s">
        <v>25</v>
      </c>
      <c r="C5" s="3" t="s">
        <v>26</v>
      </c>
      <c r="D5" s="4">
        <v>20.84</v>
      </c>
      <c r="E5" s="6">
        <f>tblMenu[[#This Row],[Price no vat ]]*15%+tblMenu[[#This Row],[Price no vat ]]</f>
        <v>23.966000000000001</v>
      </c>
    </row>
    <row r="6" spans="1:5" x14ac:dyDescent="0.2">
      <c r="A6" t="s">
        <v>18</v>
      </c>
      <c r="B6" s="3" t="s">
        <v>27</v>
      </c>
      <c r="C6" s="3" t="s">
        <v>28</v>
      </c>
      <c r="D6" s="4">
        <v>24.8</v>
      </c>
      <c r="E6" s="6">
        <f>tblMenu[[#This Row],[Price no vat ]]*15%+tblMenu[[#This Row],[Price no vat ]]</f>
        <v>28.52</v>
      </c>
    </row>
    <row r="7" spans="1:5" x14ac:dyDescent="0.2">
      <c r="A7" t="s">
        <v>18</v>
      </c>
      <c r="B7" s="3" t="s">
        <v>4</v>
      </c>
      <c r="C7" s="3" t="s">
        <v>29</v>
      </c>
      <c r="D7" s="4">
        <v>16.52</v>
      </c>
      <c r="E7" s="6">
        <f>tblMenu[[#This Row],[Price no vat ]]*15%+tblMenu[[#This Row],[Price no vat ]]</f>
        <v>18.997999999999998</v>
      </c>
    </row>
    <row r="8" spans="1:5" x14ac:dyDescent="0.2">
      <c r="A8" t="s">
        <v>18</v>
      </c>
      <c r="B8" s="3" t="s">
        <v>31</v>
      </c>
      <c r="C8" s="3" t="s">
        <v>30</v>
      </c>
      <c r="D8" s="4">
        <v>21.74</v>
      </c>
      <c r="E8" s="6">
        <f>tblMenu[[#This Row],[Price no vat ]]*15%+tblMenu[[#This Row],[Price no vat ]]</f>
        <v>25.000999999999998</v>
      </c>
    </row>
    <row r="9" spans="1:5" x14ac:dyDescent="0.2">
      <c r="A9" t="s">
        <v>18</v>
      </c>
      <c r="B9" s="3" t="s">
        <v>32</v>
      </c>
      <c r="C9" s="3" t="s">
        <v>33</v>
      </c>
      <c r="D9" s="4">
        <v>21.98</v>
      </c>
      <c r="E9" s="6">
        <f>tblMenu[[#This Row],[Price no vat ]]*15%+tblMenu[[#This Row],[Price no vat ]]</f>
        <v>25.277000000000001</v>
      </c>
    </row>
    <row r="10" spans="1:5" x14ac:dyDescent="0.2">
      <c r="A10" t="s">
        <v>18</v>
      </c>
      <c r="B10" s="3" t="s">
        <v>6</v>
      </c>
      <c r="C10" s="3" t="s">
        <v>34</v>
      </c>
      <c r="D10" s="4">
        <v>16.52</v>
      </c>
      <c r="E10" s="6">
        <f>tblMenu[[#This Row],[Price no vat ]]*15%+tblMenu[[#This Row],[Price no vat ]]</f>
        <v>18.997999999999998</v>
      </c>
    </row>
    <row r="11" spans="1:5" x14ac:dyDescent="0.2">
      <c r="A11" t="s">
        <v>18</v>
      </c>
      <c r="B11" s="3" t="s">
        <v>11</v>
      </c>
      <c r="C11" s="3" t="s">
        <v>35</v>
      </c>
      <c r="D11" s="4">
        <v>22.04</v>
      </c>
      <c r="E11" s="6">
        <f>tblMenu[[#This Row],[Price no vat ]]*15%+tblMenu[[#This Row],[Price no vat ]]</f>
        <v>25.346</v>
      </c>
    </row>
    <row r="12" spans="1:5" x14ac:dyDescent="0.2">
      <c r="A12" t="s">
        <v>18</v>
      </c>
      <c r="B12" s="3" t="s">
        <v>37</v>
      </c>
      <c r="C12" s="3" t="s">
        <v>36</v>
      </c>
      <c r="D12" s="4">
        <v>32.79</v>
      </c>
      <c r="E12" s="6">
        <f>tblMenu[[#This Row],[Price no vat ]]*15%+tblMenu[[#This Row],[Price no vat ]]</f>
        <v>37.708500000000001</v>
      </c>
    </row>
    <row r="13" spans="1:5" x14ac:dyDescent="0.2">
      <c r="A13" t="s">
        <v>18</v>
      </c>
      <c r="B13" s="3" t="s">
        <v>12</v>
      </c>
      <c r="C13" s="3" t="s">
        <v>38</v>
      </c>
      <c r="D13" s="4">
        <v>23.48</v>
      </c>
      <c r="E13" s="6">
        <f>tblMenu[[#This Row],[Price no vat ]]*15%+tblMenu[[#This Row],[Price no vat ]]</f>
        <v>27.001999999999999</v>
      </c>
    </row>
    <row r="14" spans="1:5" x14ac:dyDescent="0.2">
      <c r="A14" t="s">
        <v>18</v>
      </c>
      <c r="B14" s="3" t="s">
        <v>14</v>
      </c>
      <c r="C14" s="3" t="s">
        <v>39</v>
      </c>
      <c r="D14" s="4">
        <v>28.81</v>
      </c>
      <c r="E14" s="6">
        <f>tblMenu[[#This Row],[Price no vat ]]*15%+tblMenu[[#This Row],[Price no vat ]]</f>
        <v>33.131499999999996</v>
      </c>
    </row>
    <row r="15" spans="1:5" x14ac:dyDescent="0.2">
      <c r="A15" t="s">
        <v>18</v>
      </c>
      <c r="B15" s="3" t="s">
        <v>10</v>
      </c>
      <c r="C15" s="3" t="s">
        <v>40</v>
      </c>
      <c r="D15" s="4">
        <v>20</v>
      </c>
      <c r="E15" s="6">
        <f>tblMenu[[#This Row],[Price no vat ]]*15%+tblMenu[[#This Row],[Price no vat ]]</f>
        <v>23</v>
      </c>
    </row>
    <row r="16" spans="1:5" x14ac:dyDescent="0.2">
      <c r="A16" t="s">
        <v>18</v>
      </c>
      <c r="B16" s="3" t="s">
        <v>41</v>
      </c>
      <c r="C16" s="3" t="s">
        <v>42</v>
      </c>
      <c r="D16" s="4">
        <v>21.25</v>
      </c>
      <c r="E16" s="6">
        <f>tblMenu[[#This Row],[Price no vat ]]*15%+tblMenu[[#This Row],[Price no vat ]]</f>
        <v>24.4375</v>
      </c>
    </row>
    <row r="17" spans="1:5" x14ac:dyDescent="0.2">
      <c r="A17" t="s">
        <v>18</v>
      </c>
      <c r="B17" s="3" t="s">
        <v>13</v>
      </c>
      <c r="C17" s="3" t="s">
        <v>43</v>
      </c>
      <c r="D17" s="4">
        <v>20</v>
      </c>
      <c r="E17" s="6">
        <f>tblMenu[[#This Row],[Price no vat ]]*15%+tblMenu[[#This Row],[Price no vat ]]</f>
        <v>23</v>
      </c>
    </row>
    <row r="18" spans="1:5" x14ac:dyDescent="0.2">
      <c r="A18" t="s">
        <v>18</v>
      </c>
      <c r="B18" s="3" t="s">
        <v>17</v>
      </c>
      <c r="C18" s="3" t="s">
        <v>44</v>
      </c>
      <c r="D18" s="4">
        <v>18.39</v>
      </c>
      <c r="E18" s="6">
        <f>tblMenu[[#This Row],[Price no vat ]]*15%+tblMenu[[#This Row],[Price no vat ]]</f>
        <v>21.148500000000002</v>
      </c>
    </row>
    <row r="19" spans="1:5" x14ac:dyDescent="0.2">
      <c r="A19" t="s">
        <v>18</v>
      </c>
      <c r="B19" s="3" t="s">
        <v>46</v>
      </c>
      <c r="C19" s="3" t="s">
        <v>45</v>
      </c>
      <c r="D19" s="4">
        <v>22.1</v>
      </c>
      <c r="E19" s="6">
        <f>tblMenu[[#This Row],[Price no vat ]]*15%+tblMenu[[#This Row],[Price no vat ]]</f>
        <v>25.415000000000003</v>
      </c>
    </row>
    <row r="20" spans="1:5" x14ac:dyDescent="0.2">
      <c r="A20" t="s">
        <v>18</v>
      </c>
      <c r="B20" s="3" t="s">
        <v>48</v>
      </c>
      <c r="C20" s="3" t="s">
        <v>47</v>
      </c>
      <c r="D20" s="4">
        <v>28.11</v>
      </c>
      <c r="E20" s="6">
        <f>tblMenu[[#This Row],[Price no vat ]]*15%+tblMenu[[#This Row],[Price no vat ]]</f>
        <v>32.326499999999996</v>
      </c>
    </row>
    <row r="21" spans="1:5" x14ac:dyDescent="0.2">
      <c r="A21" t="s">
        <v>18</v>
      </c>
      <c r="B21" s="3" t="s">
        <v>50</v>
      </c>
      <c r="C21" s="3" t="s">
        <v>49</v>
      </c>
      <c r="D21" s="4">
        <v>20.9</v>
      </c>
      <c r="E21" s="6">
        <f>tblMenu[[#This Row],[Price no vat ]]*15%+tblMenu[[#This Row],[Price no vat ]]</f>
        <v>24.034999999999997</v>
      </c>
    </row>
    <row r="22" spans="1:5" x14ac:dyDescent="0.2">
      <c r="A22" t="s">
        <v>18</v>
      </c>
      <c r="B22" s="3" t="s">
        <v>52</v>
      </c>
      <c r="C22" s="3" t="s">
        <v>51</v>
      </c>
      <c r="D22" s="4">
        <v>21.41</v>
      </c>
      <c r="E22" s="6">
        <f>tblMenu[[#This Row],[Price no vat ]]*15%+tblMenu[[#This Row],[Price no vat ]]</f>
        <v>24.621500000000001</v>
      </c>
    </row>
    <row r="23" spans="1:5" x14ac:dyDescent="0.2">
      <c r="A23" t="s">
        <v>18</v>
      </c>
      <c r="B23" s="3" t="s">
        <v>3</v>
      </c>
      <c r="C23" s="3" t="s">
        <v>53</v>
      </c>
      <c r="D23" s="4">
        <v>31.3</v>
      </c>
      <c r="E23" s="6">
        <f>tblMenu[[#This Row],[Price no vat ]]*15%+tblMenu[[#This Row],[Price no vat ]]</f>
        <v>35.995000000000005</v>
      </c>
    </row>
    <row r="24" spans="1:5" x14ac:dyDescent="0.2">
      <c r="A24" t="s">
        <v>18</v>
      </c>
      <c r="B24" s="3" t="s">
        <v>55</v>
      </c>
      <c r="C24" s="3" t="s">
        <v>54</v>
      </c>
      <c r="D24" s="4">
        <v>17.239999999999998</v>
      </c>
      <c r="E24" s="6">
        <f>tblMenu[[#This Row],[Price no vat ]]*15%+tblMenu[[#This Row],[Price no vat ]]</f>
        <v>19.825999999999997</v>
      </c>
    </row>
    <row r="25" spans="1:5" x14ac:dyDescent="0.2">
      <c r="A25" t="s">
        <v>18</v>
      </c>
      <c r="B25" s="3" t="s">
        <v>57</v>
      </c>
      <c r="C25" s="3" t="s">
        <v>56</v>
      </c>
      <c r="D25" s="4">
        <v>28.01</v>
      </c>
      <c r="E25" s="6">
        <f>tblMenu[[#This Row],[Price no vat ]]*15%+tblMenu[[#This Row],[Price no vat ]]</f>
        <v>32.211500000000001</v>
      </c>
    </row>
    <row r="26" spans="1:5" x14ac:dyDescent="0.2">
      <c r="A26" t="s">
        <v>18</v>
      </c>
      <c r="B26" s="3" t="s">
        <v>59</v>
      </c>
      <c r="C26" s="3" t="s">
        <v>58</v>
      </c>
      <c r="D26" s="4">
        <v>30.57</v>
      </c>
      <c r="E26" s="6">
        <f>tblMenu[[#This Row],[Price no vat ]]*15%+tblMenu[[#This Row],[Price no vat ]]</f>
        <v>35.155500000000004</v>
      </c>
    </row>
    <row r="27" spans="1:5" x14ac:dyDescent="0.2">
      <c r="A27" t="s">
        <v>18</v>
      </c>
      <c r="B27" s="3" t="s">
        <v>61</v>
      </c>
      <c r="C27" s="3" t="s">
        <v>60</v>
      </c>
      <c r="D27" s="4">
        <v>22.61</v>
      </c>
      <c r="E27" s="6">
        <f>tblMenu[[#This Row],[Price no vat ]]*15%+tblMenu[[#This Row],[Price no vat ]]</f>
        <v>26.0015</v>
      </c>
    </row>
    <row r="28" spans="1:5" x14ac:dyDescent="0.2">
      <c r="A28" t="s">
        <v>18</v>
      </c>
      <c r="B28" s="3" t="s">
        <v>9</v>
      </c>
      <c r="C28" s="3" t="s">
        <v>62</v>
      </c>
      <c r="D28" s="4">
        <v>32.090000000000003</v>
      </c>
      <c r="E28" s="6">
        <f>tblMenu[[#This Row],[Price no vat ]]*15%+tblMenu[[#This Row],[Price no vat ]]</f>
        <v>36.903500000000001</v>
      </c>
    </row>
    <row r="29" spans="1:5" x14ac:dyDescent="0.2">
      <c r="A29" t="s">
        <v>18</v>
      </c>
      <c r="B29" s="3" t="s">
        <v>16</v>
      </c>
      <c r="C29" s="3" t="s">
        <v>63</v>
      </c>
      <c r="D29" s="4">
        <v>20</v>
      </c>
      <c r="E29" s="6">
        <f>tblMenu[[#This Row],[Price no vat ]]*15%+tblMenu[[#This Row],[Price no vat ]]</f>
        <v>23</v>
      </c>
    </row>
    <row r="30" spans="1:5" x14ac:dyDescent="0.2">
      <c r="A30" t="s">
        <v>18</v>
      </c>
      <c r="B30" s="3" t="s">
        <v>7</v>
      </c>
      <c r="C30" s="3" t="s">
        <v>64</v>
      </c>
      <c r="D30" s="4">
        <v>32.090000000000003</v>
      </c>
      <c r="E30" s="6">
        <f>tblMenu[[#This Row],[Price no vat ]]*15%+tblMenu[[#This Row],[Price no vat ]]</f>
        <v>36.903500000000001</v>
      </c>
    </row>
    <row r="31" spans="1:5" x14ac:dyDescent="0.2">
      <c r="A31" t="s">
        <v>18</v>
      </c>
      <c r="B31" s="3" t="s">
        <v>15</v>
      </c>
      <c r="C31" s="3" t="s">
        <v>65</v>
      </c>
      <c r="D31" s="4">
        <v>16.52</v>
      </c>
      <c r="E31" s="6">
        <f>tblMenu[[#This Row],[Price no vat ]]*15%+tblMenu[[#This Row],[Price no vat ]]</f>
        <v>18.997999999999998</v>
      </c>
    </row>
    <row r="32" spans="1:5" x14ac:dyDescent="0.2">
      <c r="A32" t="s">
        <v>18</v>
      </c>
      <c r="B32" s="3" t="s">
        <v>67</v>
      </c>
      <c r="C32" s="3" t="s">
        <v>66</v>
      </c>
      <c r="D32" s="4">
        <v>33.159999999999997</v>
      </c>
      <c r="E32" s="6">
        <f>tblMenu[[#This Row],[Price no vat ]]*15%+tblMenu[[#This Row],[Price no vat ]]</f>
        <v>38.133999999999993</v>
      </c>
    </row>
    <row r="33" spans="1:5" x14ac:dyDescent="0.2">
      <c r="A33" t="s">
        <v>18</v>
      </c>
      <c r="B33" s="3" t="s">
        <v>69</v>
      </c>
      <c r="C33" s="3" t="s">
        <v>68</v>
      </c>
      <c r="D33" s="4">
        <v>23.9</v>
      </c>
      <c r="E33" s="6">
        <f>tblMenu[[#This Row],[Price no vat ]]*15%+tblMenu[[#This Row],[Price no vat ]]</f>
        <v>27.484999999999999</v>
      </c>
    </row>
    <row r="34" spans="1:5" x14ac:dyDescent="0.2">
      <c r="A34" t="s">
        <v>18</v>
      </c>
      <c r="B34" s="3" t="s">
        <v>5</v>
      </c>
      <c r="C34" s="5" t="s">
        <v>70</v>
      </c>
      <c r="D34" s="4">
        <v>16.52</v>
      </c>
      <c r="E34" s="6">
        <f>tblMenu[[#This Row],[Price no vat ]]*15%+tblMenu[[#This Row],[Price no vat ]]</f>
        <v>18.997999999999998</v>
      </c>
    </row>
    <row r="35" spans="1:5" x14ac:dyDescent="0.2">
      <c r="A35" t="s">
        <v>18</v>
      </c>
      <c r="B35" s="3" t="s">
        <v>71</v>
      </c>
      <c r="C35" s="3" t="s">
        <v>72</v>
      </c>
      <c r="D35" s="4">
        <v>13.91</v>
      </c>
      <c r="E35" s="6">
        <f>tblMenu[[#This Row],[Price no vat ]]*15%+tblMenu[[#This Row],[Price no vat ]]</f>
        <v>15.996500000000001</v>
      </c>
    </row>
    <row r="36" spans="1:5" x14ac:dyDescent="0.2">
      <c r="A36" t="s">
        <v>18</v>
      </c>
      <c r="B36" s="3" t="s">
        <v>8</v>
      </c>
      <c r="C36" s="5" t="s">
        <v>73</v>
      </c>
      <c r="D36" s="4">
        <v>16.52</v>
      </c>
      <c r="E36" s="6">
        <f>tblMenu[[#This Row],[Price no vat ]]*15%+tblMenu[[#This Row],[Price no vat ]]</f>
        <v>18.997999999999998</v>
      </c>
    </row>
    <row r="37" spans="1:5" x14ac:dyDescent="0.2">
      <c r="A37" t="s">
        <v>18</v>
      </c>
      <c r="B37" s="3" t="s">
        <v>74</v>
      </c>
      <c r="C37" t="s">
        <v>75</v>
      </c>
      <c r="D37" s="4">
        <v>14.78</v>
      </c>
      <c r="E37" s="6">
        <f>tblMenu[[#This Row],[Price no vat ]]*15%+tblMenu[[#This Row],[Price no vat ]]</f>
        <v>16.997</v>
      </c>
    </row>
    <row r="38" spans="1:5" x14ac:dyDescent="0.2">
      <c r="A38" t="s">
        <v>1</v>
      </c>
      <c r="B38" s="3" t="s">
        <v>81</v>
      </c>
      <c r="C38" t="s">
        <v>76</v>
      </c>
      <c r="D38" s="4">
        <v>13.04</v>
      </c>
      <c r="E38" s="6">
        <f>tblMenu[[#This Row],[Price no vat ]]*15%+tblMenu[[#This Row],[Price no vat ]]</f>
        <v>14.995999999999999</v>
      </c>
    </row>
    <row r="39" spans="1:5" x14ac:dyDescent="0.2">
      <c r="A39" t="s">
        <v>1</v>
      </c>
      <c r="B39" s="3" t="s">
        <v>83</v>
      </c>
      <c r="C39" t="s">
        <v>82</v>
      </c>
      <c r="D39" s="4">
        <v>13.91</v>
      </c>
      <c r="E39" s="6">
        <f>tblMenu[[#This Row],[Price no vat ]]*15%+tblMenu[[#This Row],[Price no vat ]]</f>
        <v>15.996500000000001</v>
      </c>
    </row>
    <row r="40" spans="1:5" x14ac:dyDescent="0.2">
      <c r="A40" t="s">
        <v>1</v>
      </c>
      <c r="B40" s="3" t="s">
        <v>85</v>
      </c>
      <c r="C40" t="s">
        <v>84</v>
      </c>
      <c r="D40" s="4">
        <v>12.17</v>
      </c>
      <c r="E40" s="6">
        <f>tblMenu[[#This Row],[Price no vat ]]*15%+tblMenu[[#This Row],[Price no vat ]]</f>
        <v>13.9955</v>
      </c>
    </row>
    <row r="41" spans="1:5" x14ac:dyDescent="0.2">
      <c r="A41" t="s">
        <v>1</v>
      </c>
      <c r="B41" s="3" t="s">
        <v>87</v>
      </c>
      <c r="C41" t="s">
        <v>86</v>
      </c>
      <c r="D41" s="4">
        <v>19.78</v>
      </c>
      <c r="E41" s="6">
        <f>tblMenu[[#This Row],[Price no vat ]]*15%+tblMenu[[#This Row],[Price no vat ]]</f>
        <v>22.747</v>
      </c>
    </row>
    <row r="42" spans="1:5" x14ac:dyDescent="0.2">
      <c r="A42" t="s">
        <v>1</v>
      </c>
      <c r="B42" s="3" t="s">
        <v>89</v>
      </c>
      <c r="C42" t="s">
        <v>88</v>
      </c>
      <c r="D42" s="4">
        <v>18.75</v>
      </c>
      <c r="E42" s="6">
        <f>tblMenu[[#This Row],[Price no vat ]]*15%+tblMenu[[#This Row],[Price no vat ]]</f>
        <v>21.5625</v>
      </c>
    </row>
    <row r="43" spans="1:5" x14ac:dyDescent="0.2">
      <c r="A43" t="s">
        <v>1</v>
      </c>
      <c r="B43" s="3" t="s">
        <v>91</v>
      </c>
      <c r="C43" t="s">
        <v>90</v>
      </c>
      <c r="D43" s="4">
        <v>14.3</v>
      </c>
      <c r="E43" s="6">
        <f>tblMenu[[#This Row],[Price no vat ]]*15%+tblMenu[[#This Row],[Price no vat ]]</f>
        <v>16.445</v>
      </c>
    </row>
    <row r="44" spans="1:5" x14ac:dyDescent="0.2">
      <c r="A44" t="s">
        <v>1</v>
      </c>
      <c r="B44" s="3" t="s">
        <v>93</v>
      </c>
      <c r="C44" t="s">
        <v>92</v>
      </c>
      <c r="D44" s="4">
        <v>23.81</v>
      </c>
      <c r="E44" s="6">
        <f>tblMenu[[#This Row],[Price no vat ]]*15%+tblMenu[[#This Row],[Price no vat ]]</f>
        <v>27.381499999999999</v>
      </c>
    </row>
    <row r="45" spans="1:5" x14ac:dyDescent="0.2">
      <c r="A45" t="s">
        <v>1</v>
      </c>
      <c r="B45" s="3" t="s">
        <v>95</v>
      </c>
      <c r="C45" t="s">
        <v>94</v>
      </c>
      <c r="D45" s="4">
        <v>17.170000000000002</v>
      </c>
      <c r="E45" s="6">
        <f>tblMenu[[#This Row],[Price no vat ]]*15%+tblMenu[[#This Row],[Price no vat ]]</f>
        <v>19.745500000000003</v>
      </c>
    </row>
    <row r="46" spans="1:5" x14ac:dyDescent="0.2">
      <c r="A46" t="s">
        <v>1</v>
      </c>
      <c r="B46" s="3" t="s">
        <v>97</v>
      </c>
      <c r="C46" t="s">
        <v>96</v>
      </c>
      <c r="D46" s="4">
        <v>24.35</v>
      </c>
      <c r="E46" s="6">
        <f>tblMenu[[#This Row],[Price no vat ]]*15%+tblMenu[[#This Row],[Price no vat ]]</f>
        <v>28.002500000000001</v>
      </c>
    </row>
    <row r="47" spans="1:5" x14ac:dyDescent="0.2">
      <c r="A47" t="s">
        <v>1</v>
      </c>
      <c r="B47" s="3" t="s">
        <v>99</v>
      </c>
      <c r="C47" t="s">
        <v>98</v>
      </c>
      <c r="D47" s="4">
        <v>18.260000000000002</v>
      </c>
      <c r="E47" s="6">
        <f>tblMenu[[#This Row],[Price no vat ]]*15%+tblMenu[[#This Row],[Price no vat ]]</f>
        <v>20.999000000000002</v>
      </c>
    </row>
    <row r="48" spans="1:5" x14ac:dyDescent="0.2">
      <c r="A48" t="s">
        <v>1</v>
      </c>
      <c r="B48" s="3" t="s">
        <v>103</v>
      </c>
      <c r="C48" t="s">
        <v>100</v>
      </c>
      <c r="D48" s="4">
        <v>22.61</v>
      </c>
      <c r="E48" s="6">
        <f>tblMenu[[#This Row],[Price no vat ]]*15%+tblMenu[[#This Row],[Price no vat ]]</f>
        <v>26.0015</v>
      </c>
    </row>
    <row r="49" spans="1:5" x14ac:dyDescent="0.2">
      <c r="A49" t="s">
        <v>1</v>
      </c>
      <c r="B49" s="3" t="s">
        <v>102</v>
      </c>
      <c r="C49" t="s">
        <v>101</v>
      </c>
      <c r="D49" s="4">
        <v>20.38</v>
      </c>
      <c r="E49" s="6">
        <f>tblMenu[[#This Row],[Price no vat ]]*15%+tblMenu[[#This Row],[Price no vat ]]</f>
        <v>23.436999999999998</v>
      </c>
    </row>
    <row r="50" spans="1:5" x14ac:dyDescent="0.2">
      <c r="A50" t="s">
        <v>1</v>
      </c>
      <c r="B50" s="3" t="s">
        <v>77</v>
      </c>
      <c r="C50" t="s">
        <v>104</v>
      </c>
      <c r="D50" s="4">
        <v>46.96</v>
      </c>
      <c r="E50" s="6">
        <f>tblMenu[[#This Row],[Price no vat ]]*15%+tblMenu[[#This Row],[Price no vat ]]</f>
        <v>54.003999999999998</v>
      </c>
    </row>
    <row r="51" spans="1:5" x14ac:dyDescent="0.2">
      <c r="A51" t="s">
        <v>1</v>
      </c>
      <c r="B51" s="3" t="s">
        <v>106</v>
      </c>
      <c r="C51" t="s">
        <v>105</v>
      </c>
      <c r="D51" s="4">
        <v>34.24</v>
      </c>
      <c r="E51" s="6">
        <f>tblMenu[[#This Row],[Price no vat ]]*15%+tblMenu[[#This Row],[Price no vat ]]</f>
        <v>39.376000000000005</v>
      </c>
    </row>
    <row r="52" spans="1:5" x14ac:dyDescent="0.2">
      <c r="A52" t="s">
        <v>1</v>
      </c>
      <c r="B52" s="3" t="s">
        <v>108</v>
      </c>
      <c r="C52" t="s">
        <v>107</v>
      </c>
      <c r="D52" s="4">
        <v>18.75</v>
      </c>
      <c r="E52" s="6">
        <f>tblMenu[[#This Row],[Price no vat ]]*15%+tblMenu[[#This Row],[Price no vat ]]</f>
        <v>21.5625</v>
      </c>
    </row>
    <row r="53" spans="1:5" x14ac:dyDescent="0.2">
      <c r="A53" t="s">
        <v>1</v>
      </c>
      <c r="B53" t="s">
        <v>109</v>
      </c>
      <c r="C53" s="3" t="s">
        <v>78</v>
      </c>
      <c r="D53" s="4">
        <v>25.21</v>
      </c>
      <c r="E53" s="6">
        <f>tblMenu[[#This Row],[Price no vat ]]*15%+tblMenu[[#This Row],[Price no vat ]]</f>
        <v>28.991500000000002</v>
      </c>
    </row>
    <row r="54" spans="1:5" x14ac:dyDescent="0.2">
      <c r="A54" t="s">
        <v>1</v>
      </c>
      <c r="B54" s="3" t="s">
        <v>111</v>
      </c>
      <c r="C54" t="s">
        <v>110</v>
      </c>
      <c r="D54" s="4">
        <v>21.65</v>
      </c>
      <c r="E54" s="6">
        <f>tblMenu[[#This Row],[Price no vat ]]*15%+tblMenu[[#This Row],[Price no vat ]]</f>
        <v>24.897499999999997</v>
      </c>
    </row>
    <row r="55" spans="1:5" x14ac:dyDescent="0.2">
      <c r="A55" t="s">
        <v>1</v>
      </c>
      <c r="B55" s="3" t="s">
        <v>112</v>
      </c>
      <c r="C55" t="s">
        <v>113</v>
      </c>
      <c r="D55" s="4">
        <v>19.920000000000002</v>
      </c>
      <c r="E55" s="6">
        <f>tblMenu[[#This Row],[Price no vat ]]*15%+tblMenu[[#This Row],[Price no vat ]]</f>
        <v>22.908000000000001</v>
      </c>
    </row>
    <row r="56" spans="1:5" x14ac:dyDescent="0.2">
      <c r="A56" t="s">
        <v>1</v>
      </c>
      <c r="B56" s="3" t="s">
        <v>115</v>
      </c>
      <c r="C56" t="s">
        <v>114</v>
      </c>
      <c r="D56" s="4">
        <v>23.48</v>
      </c>
      <c r="E56" s="6">
        <f>tblMenu[[#This Row],[Price no vat ]]*15%+tblMenu[[#This Row],[Price no vat ]]</f>
        <v>27.001999999999999</v>
      </c>
    </row>
    <row r="57" spans="1:5" x14ac:dyDescent="0.2">
      <c r="A57" t="s">
        <v>1</v>
      </c>
      <c r="B57" s="3" t="s">
        <v>117</v>
      </c>
      <c r="C57" t="s">
        <v>116</v>
      </c>
      <c r="D57" s="4">
        <v>10.35</v>
      </c>
      <c r="E57" s="6">
        <f>tblMenu[[#This Row],[Price no vat ]]*15%+tblMenu[[#This Row],[Price no vat ]]</f>
        <v>11.9025</v>
      </c>
    </row>
    <row r="58" spans="1:5" x14ac:dyDescent="0.2">
      <c r="A58" t="s">
        <v>1</v>
      </c>
      <c r="B58" s="3" t="s">
        <v>119</v>
      </c>
      <c r="C58" t="s">
        <v>118</v>
      </c>
      <c r="D58" s="4">
        <v>22.84</v>
      </c>
      <c r="E58" s="6">
        <f>tblMenu[[#This Row],[Price no vat ]]*15%+tblMenu[[#This Row],[Price no vat ]]</f>
        <v>26.265999999999998</v>
      </c>
    </row>
    <row r="59" spans="1:5" x14ac:dyDescent="0.2">
      <c r="A59" t="s">
        <v>1</v>
      </c>
      <c r="B59" s="3" t="s">
        <v>121</v>
      </c>
      <c r="C59" t="s">
        <v>120</v>
      </c>
      <c r="D59" s="4">
        <v>23.72</v>
      </c>
      <c r="E59" s="6">
        <f>tblMenu[[#This Row],[Price no vat ]]*15%+tblMenu[[#This Row],[Price no vat ]]</f>
        <v>27.277999999999999</v>
      </c>
    </row>
    <row r="60" spans="1:5" x14ac:dyDescent="0.2">
      <c r="A60" t="s">
        <v>1</v>
      </c>
      <c r="B60" s="3" t="s">
        <v>123</v>
      </c>
      <c r="C60" t="s">
        <v>122</v>
      </c>
      <c r="D60" s="4">
        <v>10.35</v>
      </c>
      <c r="E60" s="6">
        <f>tblMenu[[#This Row],[Price no vat ]]*15%+tblMenu[[#This Row],[Price no vat ]]</f>
        <v>11.9025</v>
      </c>
    </row>
    <row r="61" spans="1:5" x14ac:dyDescent="0.2">
      <c r="A61" t="s">
        <v>1</v>
      </c>
      <c r="B61" s="3" t="s">
        <v>125</v>
      </c>
      <c r="C61" t="s">
        <v>124</v>
      </c>
      <c r="D61" s="4">
        <v>21.79</v>
      </c>
      <c r="E61" s="6">
        <f>tblMenu[[#This Row],[Price no vat ]]*15%+tblMenu[[#This Row],[Price no vat ]]</f>
        <v>25.058499999999999</v>
      </c>
    </row>
    <row r="62" spans="1:5" x14ac:dyDescent="0.2">
      <c r="A62" t="s">
        <v>1</v>
      </c>
      <c r="B62" t="s">
        <v>126</v>
      </c>
      <c r="C62" s="3" t="s">
        <v>79</v>
      </c>
      <c r="D62" s="4">
        <v>18.98</v>
      </c>
      <c r="E62" s="6">
        <f>tblMenu[[#This Row],[Price no vat ]]*15%+tblMenu[[#This Row],[Price no vat ]]</f>
        <v>21.827000000000002</v>
      </c>
    </row>
    <row r="63" spans="1:5" x14ac:dyDescent="0.2">
      <c r="A63" t="s">
        <v>1</v>
      </c>
      <c r="B63" s="3" t="s">
        <v>128</v>
      </c>
      <c r="C63" t="s">
        <v>127</v>
      </c>
      <c r="D63" s="4">
        <v>14.99</v>
      </c>
      <c r="E63" s="6">
        <f>tblMenu[[#This Row],[Price no vat ]]*15%+tblMenu[[#This Row],[Price no vat ]]</f>
        <v>17.238500000000002</v>
      </c>
    </row>
    <row r="64" spans="1:5" x14ac:dyDescent="0.2">
      <c r="A64" t="s">
        <v>1</v>
      </c>
      <c r="B64" s="3" t="s">
        <v>130</v>
      </c>
      <c r="C64" t="s">
        <v>129</v>
      </c>
      <c r="D64" s="4">
        <v>18.41</v>
      </c>
      <c r="E64" s="6">
        <f>tblMenu[[#This Row],[Price no vat ]]*15%+tblMenu[[#This Row],[Price no vat ]]</f>
        <v>21.171500000000002</v>
      </c>
    </row>
    <row r="65" spans="1:5" x14ac:dyDescent="0.2">
      <c r="A65" t="s">
        <v>1</v>
      </c>
      <c r="B65" s="3" t="s">
        <v>132</v>
      </c>
      <c r="C65" t="s">
        <v>131</v>
      </c>
      <c r="D65" s="4">
        <v>18.940000000000001</v>
      </c>
      <c r="E65" s="6">
        <f>tblMenu[[#This Row],[Price no vat ]]*15%+tblMenu[[#This Row],[Price no vat ]]</f>
        <v>21.781000000000002</v>
      </c>
    </row>
    <row r="66" spans="1:5" x14ac:dyDescent="0.2">
      <c r="A66" t="s">
        <v>1</v>
      </c>
      <c r="B66" s="3" t="s">
        <v>134</v>
      </c>
      <c r="C66" t="s">
        <v>133</v>
      </c>
      <c r="D66" s="4">
        <v>21.11</v>
      </c>
      <c r="E66" s="6">
        <f>tblMenu[[#This Row],[Price no vat ]]*15%+tblMenu[[#This Row],[Price no vat ]]</f>
        <v>24.276499999999999</v>
      </c>
    </row>
    <row r="67" spans="1:5" x14ac:dyDescent="0.2">
      <c r="A67" t="s">
        <v>1</v>
      </c>
      <c r="B67" s="3" t="s">
        <v>80</v>
      </c>
      <c r="C67" t="s">
        <v>136</v>
      </c>
      <c r="D67" s="4">
        <v>47.99</v>
      </c>
      <c r="E67" s="6">
        <f>tblMenu[[#This Row],[Price no vat ]]*15%+tblMenu[[#This Row],[Price no vat ]]</f>
        <v>55.188500000000005</v>
      </c>
    </row>
    <row r="68" spans="1:5" x14ac:dyDescent="0.2">
      <c r="A68" t="s">
        <v>1</v>
      </c>
      <c r="B68" s="3" t="s">
        <v>139</v>
      </c>
      <c r="C68" t="s">
        <v>135</v>
      </c>
      <c r="D68" s="4">
        <v>16.73</v>
      </c>
      <c r="E68" s="6">
        <f>tblMenu[[#This Row],[Price no vat ]]*15%+tblMenu[[#This Row],[Price no vat ]]</f>
        <v>19.2395</v>
      </c>
    </row>
    <row r="69" spans="1:5" x14ac:dyDescent="0.2">
      <c r="A69" t="s">
        <v>1</v>
      </c>
      <c r="B69" s="3" t="s">
        <v>138</v>
      </c>
      <c r="C69" t="s">
        <v>137</v>
      </c>
      <c r="D69" s="4">
        <v>19.350000000000001</v>
      </c>
      <c r="E69" s="6">
        <f>tblMenu[[#This Row],[Price no vat ]]*15%+tblMenu[[#This Row],[Price no vat ]]</f>
        <v>22.252500000000001</v>
      </c>
    </row>
    <row r="70" spans="1:5" x14ac:dyDescent="0.2">
      <c r="A70" t="s">
        <v>1</v>
      </c>
      <c r="B70" s="3" t="s">
        <v>141</v>
      </c>
      <c r="C70" t="s">
        <v>140</v>
      </c>
      <c r="D70" s="4">
        <v>23.59</v>
      </c>
      <c r="E70" s="6">
        <f>tblMenu[[#This Row],[Price no vat ]]*15%+tblMenu[[#This Row],[Price no vat ]]</f>
        <v>27.128499999999999</v>
      </c>
    </row>
    <row r="71" spans="1:5" x14ac:dyDescent="0.2">
      <c r="A71" t="s">
        <v>1</v>
      </c>
      <c r="B71" s="3" t="s">
        <v>143</v>
      </c>
      <c r="C71" t="s">
        <v>142</v>
      </c>
      <c r="D71" s="4">
        <v>23.61</v>
      </c>
      <c r="E71" s="6">
        <f>tblMenu[[#This Row],[Price no vat ]]*15%+tblMenu[[#This Row],[Price no vat ]]</f>
        <v>27.151499999999999</v>
      </c>
    </row>
    <row r="72" spans="1:5" x14ac:dyDescent="0.2">
      <c r="A72" t="s">
        <v>203</v>
      </c>
      <c r="B72" s="3" t="s">
        <v>149</v>
      </c>
      <c r="C72" t="s">
        <v>148</v>
      </c>
      <c r="D72" s="4">
        <v>54.96</v>
      </c>
      <c r="E72" s="6">
        <f>tblMenu[[#This Row],[Price no vat ]]*15%+tblMenu[[#This Row],[Price no vat ]]</f>
        <v>63.204000000000001</v>
      </c>
    </row>
    <row r="73" spans="1:5" x14ac:dyDescent="0.2">
      <c r="A73" t="s">
        <v>203</v>
      </c>
      <c r="B73" s="3" t="s">
        <v>151</v>
      </c>
      <c r="C73" t="s">
        <v>150</v>
      </c>
      <c r="D73" s="4">
        <v>47.96</v>
      </c>
      <c r="E73" s="6">
        <f>tblMenu[[#This Row],[Price no vat ]]*15%+tblMenu[[#This Row],[Price no vat ]]</f>
        <v>55.154000000000003</v>
      </c>
    </row>
    <row r="74" spans="1:5" x14ac:dyDescent="0.2">
      <c r="A74" t="s">
        <v>203</v>
      </c>
      <c r="B74" s="3" t="s">
        <v>155</v>
      </c>
      <c r="C74" t="s">
        <v>152</v>
      </c>
      <c r="D74" s="4">
        <v>42.7</v>
      </c>
      <c r="E74" s="6">
        <f>tblMenu[[#This Row],[Price no vat ]]*15%+tblMenu[[#This Row],[Price no vat ]]</f>
        <v>49.105000000000004</v>
      </c>
    </row>
    <row r="75" spans="1:5" x14ac:dyDescent="0.2">
      <c r="A75" t="s">
        <v>203</v>
      </c>
      <c r="B75" s="3" t="s">
        <v>154</v>
      </c>
      <c r="C75" t="s">
        <v>153</v>
      </c>
      <c r="D75" s="4">
        <v>31.02</v>
      </c>
      <c r="E75" s="6">
        <f>tblMenu[[#This Row],[Price no vat ]]*15%+tblMenu[[#This Row],[Price no vat ]]</f>
        <v>35.673000000000002</v>
      </c>
    </row>
    <row r="76" spans="1:5" x14ac:dyDescent="0.2">
      <c r="A76" t="s">
        <v>203</v>
      </c>
      <c r="B76" s="3" t="s">
        <v>157</v>
      </c>
      <c r="C76" t="s">
        <v>156</v>
      </c>
      <c r="D76" s="4">
        <v>37.770000000000003</v>
      </c>
      <c r="E76" s="6">
        <f>tblMenu[[#This Row],[Price no vat ]]*15%+tblMenu[[#This Row],[Price no vat ]]</f>
        <v>43.435500000000005</v>
      </c>
    </row>
    <row r="77" spans="1:5" x14ac:dyDescent="0.2">
      <c r="A77" t="s">
        <v>203</v>
      </c>
      <c r="B77" s="3" t="s">
        <v>159</v>
      </c>
      <c r="C77" t="s">
        <v>158</v>
      </c>
      <c r="D77" s="4">
        <v>32.17</v>
      </c>
      <c r="E77" s="6">
        <f>tblMenu[[#This Row],[Price no vat ]]*15%+tblMenu[[#This Row],[Price no vat ]]</f>
        <v>36.9955</v>
      </c>
    </row>
    <row r="78" spans="1:5" x14ac:dyDescent="0.2">
      <c r="A78" t="s">
        <v>203</v>
      </c>
      <c r="B78" s="3" t="s">
        <v>161</v>
      </c>
      <c r="C78" t="s">
        <v>160</v>
      </c>
      <c r="D78" s="4">
        <v>60.2</v>
      </c>
      <c r="E78" s="6">
        <f>tblMenu[[#This Row],[Price no vat ]]*15%+tblMenu[[#This Row],[Price no vat ]]</f>
        <v>69.23</v>
      </c>
    </row>
    <row r="79" spans="1:5" x14ac:dyDescent="0.2">
      <c r="A79" t="s">
        <v>203</v>
      </c>
      <c r="B79" s="3" t="s">
        <v>163</v>
      </c>
      <c r="C79" t="s">
        <v>162</v>
      </c>
      <c r="D79" s="4">
        <v>40.159999999999997</v>
      </c>
      <c r="E79" s="6">
        <f>tblMenu[[#This Row],[Price no vat ]]*15%+tblMenu[[#This Row],[Price no vat ]]</f>
        <v>46.183999999999997</v>
      </c>
    </row>
    <row r="80" spans="1:5" x14ac:dyDescent="0.2">
      <c r="A80" t="s">
        <v>203</v>
      </c>
      <c r="B80" s="3" t="s">
        <v>165</v>
      </c>
      <c r="C80" t="s">
        <v>164</v>
      </c>
      <c r="D80" s="4">
        <v>40.17</v>
      </c>
      <c r="E80" s="6">
        <f>tblMenu[[#This Row],[Price no vat ]]*15%+tblMenu[[#This Row],[Price no vat ]]</f>
        <v>46.195500000000003</v>
      </c>
    </row>
    <row r="81" spans="1:5" x14ac:dyDescent="0.2">
      <c r="A81" t="s">
        <v>203</v>
      </c>
      <c r="B81" s="3" t="s">
        <v>167</v>
      </c>
      <c r="C81" t="s">
        <v>166</v>
      </c>
      <c r="D81" s="4">
        <v>32.17</v>
      </c>
      <c r="E81" s="6">
        <f>tblMenu[[#This Row],[Price no vat ]]*15%+tblMenu[[#This Row],[Price no vat ]]</f>
        <v>36.9955</v>
      </c>
    </row>
    <row r="82" spans="1:5" x14ac:dyDescent="0.2">
      <c r="A82" t="s">
        <v>203</v>
      </c>
      <c r="B82" s="3" t="s">
        <v>169</v>
      </c>
      <c r="C82" t="s">
        <v>168</v>
      </c>
      <c r="D82" s="4">
        <v>32.17</v>
      </c>
      <c r="E82" s="6">
        <f>tblMenu[[#This Row],[Price no vat ]]*15%+tblMenu[[#This Row],[Price no vat ]]</f>
        <v>36.9955</v>
      </c>
    </row>
    <row r="83" spans="1:5" x14ac:dyDescent="0.2">
      <c r="A83" t="s">
        <v>203</v>
      </c>
      <c r="B83" s="3" t="s">
        <v>171</v>
      </c>
      <c r="C83" t="s">
        <v>170</v>
      </c>
      <c r="D83" s="4">
        <v>32.42</v>
      </c>
      <c r="E83" s="6">
        <f>tblMenu[[#This Row],[Price no vat ]]*15%+tblMenu[[#This Row],[Price no vat ]]</f>
        <v>37.283000000000001</v>
      </c>
    </row>
    <row r="84" spans="1:5" x14ac:dyDescent="0.2">
      <c r="A84" t="s">
        <v>203</v>
      </c>
      <c r="B84" s="3" t="s">
        <v>173</v>
      </c>
      <c r="C84" t="s">
        <v>172</v>
      </c>
      <c r="D84" s="4">
        <v>32.44</v>
      </c>
      <c r="E84" s="6">
        <f>tblMenu[[#This Row],[Price no vat ]]*15%+tblMenu[[#This Row],[Price no vat ]]</f>
        <v>37.305999999999997</v>
      </c>
    </row>
    <row r="85" spans="1:5" x14ac:dyDescent="0.2">
      <c r="A85" t="s">
        <v>203</v>
      </c>
      <c r="B85" s="3" t="s">
        <v>175</v>
      </c>
      <c r="C85" t="s">
        <v>174</v>
      </c>
      <c r="D85" s="4">
        <v>55.26</v>
      </c>
      <c r="E85" s="6">
        <f>tblMenu[[#This Row],[Price no vat ]]*15%+tblMenu[[#This Row],[Price no vat ]]</f>
        <v>63.548999999999999</v>
      </c>
    </row>
    <row r="86" spans="1:5" x14ac:dyDescent="0.2">
      <c r="A86" t="s">
        <v>203</v>
      </c>
      <c r="B86" s="3" t="s">
        <v>177</v>
      </c>
      <c r="C86" t="s">
        <v>176</v>
      </c>
      <c r="D86" s="4">
        <v>46.97</v>
      </c>
      <c r="E86" s="6">
        <f>tblMenu[[#This Row],[Price no vat ]]*15%+tblMenu[[#This Row],[Price no vat ]]</f>
        <v>54.015499999999996</v>
      </c>
    </row>
    <row r="87" spans="1:5" x14ac:dyDescent="0.2">
      <c r="A87" t="s">
        <v>203</v>
      </c>
      <c r="B87" s="3" t="s">
        <v>179</v>
      </c>
      <c r="C87" t="s">
        <v>178</v>
      </c>
      <c r="D87" s="4">
        <v>54.78</v>
      </c>
      <c r="E87" s="6">
        <f>tblMenu[[#This Row],[Price no vat ]]*15%+tblMenu[[#This Row],[Price no vat ]]</f>
        <v>62.997</v>
      </c>
    </row>
    <row r="88" spans="1:5" x14ac:dyDescent="0.2">
      <c r="A88" t="s">
        <v>203</v>
      </c>
      <c r="B88" s="3" t="s">
        <v>180</v>
      </c>
      <c r="C88" t="s">
        <v>181</v>
      </c>
      <c r="D88" s="4">
        <v>32.17</v>
      </c>
      <c r="E88" s="6">
        <f>tblMenu[[#This Row],[Price no vat ]]*15%+tblMenu[[#This Row],[Price no vat ]]</f>
        <v>36.9955</v>
      </c>
    </row>
    <row r="89" spans="1:5" x14ac:dyDescent="0.2">
      <c r="A89" t="s">
        <v>203</v>
      </c>
      <c r="B89" s="3" t="s">
        <v>183</v>
      </c>
      <c r="C89" t="s">
        <v>182</v>
      </c>
      <c r="D89" s="4">
        <v>32.17</v>
      </c>
      <c r="E89" s="6">
        <f>tblMenu[[#This Row],[Price no vat ]]*15%+tblMenu[[#This Row],[Price no vat ]]</f>
        <v>36.9955</v>
      </c>
    </row>
    <row r="90" spans="1:5" x14ac:dyDescent="0.2">
      <c r="A90" t="s">
        <v>203</v>
      </c>
      <c r="B90" s="3" t="s">
        <v>144</v>
      </c>
      <c r="C90" t="s">
        <v>184</v>
      </c>
      <c r="D90" s="4">
        <v>16.52</v>
      </c>
      <c r="E90" s="6">
        <f>tblMenu[[#This Row],[Price no vat ]]*15%+tblMenu[[#This Row],[Price no vat ]]</f>
        <v>18.997999999999998</v>
      </c>
    </row>
    <row r="91" spans="1:5" x14ac:dyDescent="0.2">
      <c r="A91" t="s">
        <v>203</v>
      </c>
      <c r="B91" s="3" t="s">
        <v>185</v>
      </c>
      <c r="C91" t="s">
        <v>186</v>
      </c>
      <c r="D91" s="4">
        <v>23.48</v>
      </c>
      <c r="E91" s="6">
        <f>tblMenu[[#This Row],[Price no vat ]]*15%+tblMenu[[#This Row],[Price no vat ]]</f>
        <v>27.001999999999999</v>
      </c>
    </row>
    <row r="92" spans="1:5" x14ac:dyDescent="0.2">
      <c r="A92" t="s">
        <v>203</v>
      </c>
      <c r="B92" s="3" t="s">
        <v>145</v>
      </c>
      <c r="C92" t="s">
        <v>187</v>
      </c>
      <c r="D92" s="4">
        <v>20</v>
      </c>
      <c r="E92" s="6">
        <f>tblMenu[[#This Row],[Price no vat ]]*15%+tblMenu[[#This Row],[Price no vat ]]</f>
        <v>23</v>
      </c>
    </row>
    <row r="93" spans="1:5" x14ac:dyDescent="0.2">
      <c r="A93" t="s">
        <v>203</v>
      </c>
      <c r="B93" s="3" t="s">
        <v>189</v>
      </c>
      <c r="C93" t="s">
        <v>188</v>
      </c>
      <c r="D93" s="4">
        <v>23.48</v>
      </c>
      <c r="E93" s="6">
        <f>tblMenu[[#This Row],[Price no vat ]]*15%+tblMenu[[#This Row],[Price no vat ]]</f>
        <v>27.001999999999999</v>
      </c>
    </row>
    <row r="94" spans="1:5" x14ac:dyDescent="0.2">
      <c r="A94" t="s">
        <v>203</v>
      </c>
      <c r="B94" s="3" t="s">
        <v>190</v>
      </c>
      <c r="C94" t="s">
        <v>191</v>
      </c>
      <c r="D94" s="4">
        <v>56.52</v>
      </c>
      <c r="E94" s="6">
        <f>tblMenu[[#This Row],[Price no vat ]]*15%+tblMenu[[#This Row],[Price no vat ]]</f>
        <v>64.998000000000005</v>
      </c>
    </row>
    <row r="95" spans="1:5" x14ac:dyDescent="0.2">
      <c r="A95" t="s">
        <v>203</v>
      </c>
      <c r="B95" s="3" t="s">
        <v>192</v>
      </c>
      <c r="C95" t="s">
        <v>193</v>
      </c>
      <c r="D95" s="4">
        <v>29.57</v>
      </c>
      <c r="E95" s="6">
        <f>tblMenu[[#This Row],[Price no vat ]]*15%+tblMenu[[#This Row],[Price no vat ]]</f>
        <v>34.005499999999998</v>
      </c>
    </row>
    <row r="96" spans="1:5" x14ac:dyDescent="0.2">
      <c r="A96" t="s">
        <v>203</v>
      </c>
      <c r="B96" s="3" t="s">
        <v>194</v>
      </c>
      <c r="C96" t="s">
        <v>195</v>
      </c>
      <c r="D96" s="4">
        <v>29.57</v>
      </c>
      <c r="E96" s="6">
        <f>tblMenu[[#This Row],[Price no vat ]]*15%+tblMenu[[#This Row],[Price no vat ]]</f>
        <v>34.005499999999998</v>
      </c>
    </row>
    <row r="97" spans="1:5" x14ac:dyDescent="0.2">
      <c r="A97" t="s">
        <v>203</v>
      </c>
      <c r="B97" s="3" t="s">
        <v>146</v>
      </c>
      <c r="C97" t="s">
        <v>196</v>
      </c>
      <c r="D97" s="4">
        <v>24.35</v>
      </c>
      <c r="E97" s="6">
        <f>tblMenu[[#This Row],[Price no vat ]]*15%+tblMenu[[#This Row],[Price no vat ]]</f>
        <v>28.002500000000001</v>
      </c>
    </row>
    <row r="98" spans="1:5" x14ac:dyDescent="0.2">
      <c r="A98" t="s">
        <v>203</v>
      </c>
      <c r="B98" s="3" t="s">
        <v>147</v>
      </c>
      <c r="C98" t="s">
        <v>197</v>
      </c>
      <c r="D98" s="4">
        <v>23</v>
      </c>
      <c r="E98" s="6">
        <f>tblMenu[[#This Row],[Price no vat ]]*15%+tblMenu[[#This Row],[Price no vat ]]</f>
        <v>26.45</v>
      </c>
    </row>
    <row r="99" spans="1:5" x14ac:dyDescent="0.2">
      <c r="A99" t="s">
        <v>203</v>
      </c>
      <c r="B99" s="3" t="s">
        <v>198</v>
      </c>
      <c r="C99" t="s">
        <v>199</v>
      </c>
      <c r="D99" s="4">
        <v>32.17</v>
      </c>
      <c r="E99" s="6">
        <f>tblMenu[[#This Row],[Price no vat ]]*15%+tblMenu[[#This Row],[Price no vat ]]</f>
        <v>36.9955</v>
      </c>
    </row>
    <row r="100" spans="1:5" x14ac:dyDescent="0.2">
      <c r="A100" t="s">
        <v>2</v>
      </c>
      <c r="B100" s="3" t="s">
        <v>205</v>
      </c>
      <c r="C100" t="s">
        <v>204</v>
      </c>
      <c r="D100" s="2">
        <f>[1]Sheet1!B7/[1]Sheet1!C7</f>
        <v>21.831560388278387</v>
      </c>
      <c r="E100" s="6">
        <f>tblMenu[[#This Row],[Price no vat ]]*15%+tblMenu[[#This Row],[Price no vat ]]</f>
        <v>25.106294446520145</v>
      </c>
    </row>
    <row r="101" spans="1:5" x14ac:dyDescent="0.2">
      <c r="A101" t="s">
        <v>2</v>
      </c>
      <c r="B101" s="3" t="s">
        <v>206</v>
      </c>
      <c r="C101" t="s">
        <v>207</v>
      </c>
      <c r="D101" s="2">
        <f>[1]Sheet1!B8/[1]Sheet1!C8</f>
        <v>24.405648706083976</v>
      </c>
      <c r="E101" s="6">
        <f>tblMenu[[#This Row],[Price no vat ]]*15%+tblMenu[[#This Row],[Price no vat ]]</f>
        <v>28.066496011996573</v>
      </c>
    </row>
    <row r="102" spans="1:5" x14ac:dyDescent="0.2">
      <c r="A102" t="s">
        <v>2</v>
      </c>
      <c r="B102" s="3" t="s">
        <v>200</v>
      </c>
      <c r="C102" t="s">
        <v>208</v>
      </c>
      <c r="D102" s="2">
        <f>[1]Sheet1!B9/[1]Sheet1!C9</f>
        <v>20.123599772925765</v>
      </c>
      <c r="E102" s="6">
        <f>tblMenu[[#This Row],[Price no vat ]]*15%+tblMenu[[#This Row],[Price no vat ]]</f>
        <v>23.142139738864628</v>
      </c>
    </row>
    <row r="103" spans="1:5" x14ac:dyDescent="0.2">
      <c r="A103" t="s">
        <v>2</v>
      </c>
      <c r="B103" s="3" t="s">
        <v>210</v>
      </c>
      <c r="C103" t="s">
        <v>209</v>
      </c>
      <c r="D103" s="2">
        <f>[1]Sheet1!B10/[1]Sheet1!C10</f>
        <v>23.429624878993224</v>
      </c>
      <c r="E103" s="6">
        <f>tblMenu[[#This Row],[Price no vat ]]*15%+tblMenu[[#This Row],[Price no vat ]]</f>
        <v>26.944068610842208</v>
      </c>
    </row>
    <row r="104" spans="1:5" x14ac:dyDescent="0.2">
      <c r="A104" t="s">
        <v>2</v>
      </c>
      <c r="B104" s="3" t="s">
        <v>212</v>
      </c>
      <c r="C104" t="s">
        <v>211</v>
      </c>
      <c r="D104" s="2">
        <f>[1]Sheet1!B11/[1]Sheet1!C11</f>
        <v>24.339226907630522</v>
      </c>
      <c r="E104" s="6">
        <f>tblMenu[[#This Row],[Price no vat ]]*15%+tblMenu[[#This Row],[Price no vat ]]</f>
        <v>27.9901109437751</v>
      </c>
    </row>
    <row r="105" spans="1:5" x14ac:dyDescent="0.2">
      <c r="A105" t="s">
        <v>2</v>
      </c>
      <c r="B105" s="3" t="s">
        <v>214</v>
      </c>
      <c r="C105" t="s">
        <v>213</v>
      </c>
      <c r="D105" s="2">
        <f>[1]Sheet1!B12/[1]Sheet1!C12</f>
        <v>32.208189701492536</v>
      </c>
      <c r="E105" s="6">
        <f>tblMenu[[#This Row],[Price no vat ]]*15%+tblMenu[[#This Row],[Price no vat ]]</f>
        <v>37.039418156716415</v>
      </c>
    </row>
    <row r="106" spans="1:5" x14ac:dyDescent="0.2">
      <c r="A106" t="s">
        <v>2</v>
      </c>
      <c r="B106" s="3" t="s">
        <v>216</v>
      </c>
      <c r="C106" t="s">
        <v>215</v>
      </c>
      <c r="D106" s="2">
        <f>[1]Sheet1!B13/[1]Sheet1!C13</f>
        <v>24.28720804469274</v>
      </c>
      <c r="E106" s="6">
        <f>tblMenu[[#This Row],[Price no vat ]]*15%+tblMenu[[#This Row],[Price no vat ]]</f>
        <v>27.930289251396651</v>
      </c>
    </row>
    <row r="107" spans="1:5" x14ac:dyDescent="0.2">
      <c r="A107" t="s">
        <v>2</v>
      </c>
      <c r="B107" s="3" t="s">
        <v>218</v>
      </c>
      <c r="C107" t="s">
        <v>217</v>
      </c>
      <c r="D107" s="2">
        <f>[1]Sheet1!B14/[1]Sheet1!C14</f>
        <v>29.621884615384616</v>
      </c>
      <c r="E107" s="6">
        <f>tblMenu[[#This Row],[Price no vat ]]*15%+tblMenu[[#This Row],[Price no vat ]]</f>
        <v>34.065167307692306</v>
      </c>
    </row>
    <row r="108" spans="1:5" x14ac:dyDescent="0.2">
      <c r="A108" t="s">
        <v>2</v>
      </c>
      <c r="B108" s="3" t="s">
        <v>219</v>
      </c>
      <c r="C108" t="s">
        <v>220</v>
      </c>
      <c r="D108" s="2">
        <f>[1]Sheet1!B15/[1]Sheet1!C15</f>
        <v>16.071216617210684</v>
      </c>
      <c r="E108" s="6">
        <f>tblMenu[[#This Row],[Price no vat ]]*15%+tblMenu[[#This Row],[Price no vat ]]</f>
        <v>18.481899109792288</v>
      </c>
    </row>
    <row r="109" spans="1:5" x14ac:dyDescent="0.2">
      <c r="A109" t="s">
        <v>2</v>
      </c>
      <c r="B109" s="3" t="s">
        <v>221</v>
      </c>
      <c r="C109" t="s">
        <v>222</v>
      </c>
      <c r="D109" s="2">
        <f>[1]Sheet1!B16/[1]Sheet1!C16</f>
        <v>25.13</v>
      </c>
      <c r="E109" s="6">
        <f>tblMenu[[#This Row],[Price no vat ]]*15%+tblMenu[[#This Row],[Price no vat ]]</f>
        <v>28.8995</v>
      </c>
    </row>
    <row r="110" spans="1:5" x14ac:dyDescent="0.2">
      <c r="A110" t="s">
        <v>2</v>
      </c>
      <c r="B110" s="3" t="s">
        <v>224</v>
      </c>
      <c r="C110" t="s">
        <v>223</v>
      </c>
      <c r="D110" s="2">
        <f>[1]Sheet1!B17/[1]Sheet1!C17</f>
        <v>13.912999999999998</v>
      </c>
      <c r="E110" s="6">
        <f>tblMenu[[#This Row],[Price no vat ]]*15%+tblMenu[[#This Row],[Price no vat ]]</f>
        <v>15.999949999999998</v>
      </c>
    </row>
    <row r="111" spans="1:5" x14ac:dyDescent="0.2">
      <c r="A111" t="s">
        <v>2</v>
      </c>
      <c r="B111" s="3" t="s">
        <v>225</v>
      </c>
      <c r="C111" t="s">
        <v>226</v>
      </c>
      <c r="D111" s="2">
        <f>[1]Sheet1!B18/[1]Sheet1!C18</f>
        <v>9.9</v>
      </c>
      <c r="E111" s="6">
        <f>tblMenu[[#This Row],[Price no vat ]]*15%+tblMenu[[#This Row],[Price no vat ]]</f>
        <v>11.385</v>
      </c>
    </row>
    <row r="112" spans="1:5" x14ac:dyDescent="0.2">
      <c r="A112" t="s">
        <v>2</v>
      </c>
      <c r="B112" s="3" t="s">
        <v>228</v>
      </c>
      <c r="C112" t="s">
        <v>227</v>
      </c>
      <c r="D112" s="2">
        <f>[1]Sheet1!B19/[1]Sheet1!C19</f>
        <v>22.564734285714287</v>
      </c>
      <c r="E112" s="6">
        <f>tblMenu[[#This Row],[Price no vat ]]*15%+tblMenu[[#This Row],[Price no vat ]]</f>
        <v>25.949444428571432</v>
      </c>
    </row>
    <row r="113" spans="1:5" x14ac:dyDescent="0.2">
      <c r="A113" t="s">
        <v>2</v>
      </c>
      <c r="B113" s="3" t="s">
        <v>201</v>
      </c>
      <c r="C113" t="s">
        <v>229</v>
      </c>
      <c r="D113" s="2">
        <f>[1]Sheet1!B20/[1]Sheet1!C20</f>
        <v>20</v>
      </c>
      <c r="E113" s="6">
        <f>tblMenu[[#This Row],[Price no vat ]]*15%+tblMenu[[#This Row],[Price no vat ]]</f>
        <v>23</v>
      </c>
    </row>
    <row r="114" spans="1:5" x14ac:dyDescent="0.2">
      <c r="A114" t="s">
        <v>2</v>
      </c>
      <c r="B114" s="3" t="s">
        <v>231</v>
      </c>
      <c r="C114" t="s">
        <v>230</v>
      </c>
      <c r="D114" s="2">
        <f>[1]Sheet1!B21/[1]Sheet1!C21</f>
        <v>32.086959999999998</v>
      </c>
      <c r="E114" s="6">
        <f>tblMenu[[#This Row],[Price no vat ]]*15%+tblMenu[[#This Row],[Price no vat ]]</f>
        <v>36.900003999999996</v>
      </c>
    </row>
    <row r="115" spans="1:5" x14ac:dyDescent="0.2">
      <c r="A115" t="s">
        <v>2</v>
      </c>
      <c r="B115" s="3" t="s">
        <v>232</v>
      </c>
      <c r="C115" t="s">
        <v>233</v>
      </c>
      <c r="D115" s="2">
        <f>[1]Sheet1!B22/[1]Sheet1!C22</f>
        <v>13.31</v>
      </c>
      <c r="E115" s="6">
        <f>tblMenu[[#This Row],[Price no vat ]]*15%+tblMenu[[#This Row],[Price no vat ]]</f>
        <v>15.3065</v>
      </c>
    </row>
    <row r="116" spans="1:5" x14ac:dyDescent="0.2">
      <c r="A116" t="s">
        <v>2</v>
      </c>
      <c r="B116" s="3" t="s">
        <v>234</v>
      </c>
      <c r="C116" t="s">
        <v>235</v>
      </c>
      <c r="D116" s="2">
        <f>[1]Sheet1!B23/[1]Sheet1!C23</f>
        <v>24.688303802816904</v>
      </c>
      <c r="E116" s="6">
        <f>tblMenu[[#This Row],[Price no vat ]]*15%+tblMenu[[#This Row],[Price no vat ]]</f>
        <v>28.391549373239439</v>
      </c>
    </row>
    <row r="117" spans="1:5" x14ac:dyDescent="0.2">
      <c r="A117" t="s">
        <v>2</v>
      </c>
      <c r="B117" s="3" t="s">
        <v>236</v>
      </c>
      <c r="C117" t="s">
        <v>237</v>
      </c>
      <c r="D117" s="2">
        <f>[1]Sheet1!B24/[1]Sheet1!C24</f>
        <v>21.739000000000001</v>
      </c>
      <c r="E117" s="6">
        <f>tblMenu[[#This Row],[Price no vat ]]*15%+tblMenu[[#This Row],[Price no vat ]]</f>
        <v>24.999850000000002</v>
      </c>
    </row>
    <row r="118" spans="1:5" x14ac:dyDescent="0.2">
      <c r="A118" t="s">
        <v>2</v>
      </c>
      <c r="B118" s="3" t="s">
        <v>238</v>
      </c>
      <c r="C118" s="5" t="s">
        <v>239</v>
      </c>
      <c r="D118" s="2">
        <f>[1]Sheet1!B25/[1]Sheet1!C25</f>
        <v>5.21739</v>
      </c>
      <c r="E118" s="6">
        <f>tblMenu[[#This Row],[Price no vat ]]*15%+tblMenu[[#This Row],[Price no vat ]]</f>
        <v>5.9999985000000002</v>
      </c>
    </row>
    <row r="119" spans="1:5" x14ac:dyDescent="0.2">
      <c r="A119" t="s">
        <v>2</v>
      </c>
      <c r="B119" s="3" t="s">
        <v>202</v>
      </c>
      <c r="C119" t="s">
        <v>240</v>
      </c>
      <c r="D119" s="2">
        <f>[1]Sheet1!B27/[1]Sheet1!C27</f>
        <v>11.304</v>
      </c>
      <c r="E119" s="6">
        <f>tblMenu[[#This Row],[Price no vat ]]*15%+tblMenu[[#This Row],[Price no vat ]]</f>
        <v>12.999600000000001</v>
      </c>
    </row>
    <row r="120" spans="1:5" x14ac:dyDescent="0.2">
      <c r="A120" t="s">
        <v>2</v>
      </c>
      <c r="B120" s="3" t="s">
        <v>242</v>
      </c>
      <c r="C120" t="s">
        <v>241</v>
      </c>
      <c r="D120" s="2">
        <f>[1]Sheet1!B28/[1]Sheet1!C28</f>
        <v>41</v>
      </c>
      <c r="E120" s="6">
        <f>tblMenu[[#This Row],[Price no vat ]]*15%+tblMenu[[#This Row],[Price no vat ]]</f>
        <v>47.15</v>
      </c>
    </row>
    <row r="121" spans="1:5" x14ac:dyDescent="0.2">
      <c r="A121" t="s">
        <v>2</v>
      </c>
      <c r="B121" s="3" t="s">
        <v>245</v>
      </c>
      <c r="C121" t="s">
        <v>243</v>
      </c>
      <c r="D121" s="2">
        <f>[1]Sheet1!B28/[1]Sheet1!C28</f>
        <v>41</v>
      </c>
      <c r="E121" s="6">
        <f>tblMenu[[#This Row],[Price no vat ]]*15%+tblMenu[[#This Row],[Price no vat ]]</f>
        <v>47.15</v>
      </c>
    </row>
    <row r="122" spans="1:5" x14ac:dyDescent="0.2">
      <c r="A122" t="s">
        <v>2</v>
      </c>
      <c r="B122" s="3" t="s">
        <v>246</v>
      </c>
      <c r="C122" t="s">
        <v>244</v>
      </c>
      <c r="D122" s="2">
        <v>5.22</v>
      </c>
      <c r="E122" s="6">
        <f>tblMenu[[#This Row],[Price no vat ]]*15%+tblMenu[[#This Row],[Price no vat ]]</f>
        <v>6.0030000000000001</v>
      </c>
    </row>
    <row r="123" spans="1:5" x14ac:dyDescent="0.2">
      <c r="A123" t="s">
        <v>314</v>
      </c>
      <c r="B123" s="3" t="s">
        <v>247</v>
      </c>
      <c r="C123" t="s">
        <v>259</v>
      </c>
      <c r="D123" s="4">
        <v>11.08</v>
      </c>
      <c r="E123" s="6">
        <f>tblMenu[[#This Row],[Price no vat ]]*15%+tblMenu[[#This Row],[Price no vat ]]</f>
        <v>12.742000000000001</v>
      </c>
    </row>
    <row r="124" spans="1:5" x14ac:dyDescent="0.2">
      <c r="A124" t="s">
        <v>314</v>
      </c>
      <c r="B124" s="3" t="s">
        <v>248</v>
      </c>
      <c r="C124" t="s">
        <v>260</v>
      </c>
      <c r="D124" s="4">
        <v>11.09</v>
      </c>
      <c r="E124" s="6">
        <f>tblMenu[[#This Row],[Price no vat ]]*15%+tblMenu[[#This Row],[Price no vat ]]</f>
        <v>12.753499999999999</v>
      </c>
    </row>
    <row r="125" spans="1:5" x14ac:dyDescent="0.2">
      <c r="A125" t="s">
        <v>314</v>
      </c>
      <c r="B125" s="3" t="s">
        <v>261</v>
      </c>
      <c r="C125" t="s">
        <v>262</v>
      </c>
      <c r="D125" s="4">
        <v>3.61</v>
      </c>
      <c r="E125" s="6">
        <f>tblMenu[[#This Row],[Price no vat ]]*15%+tblMenu[[#This Row],[Price no vat ]]</f>
        <v>4.1514999999999995</v>
      </c>
    </row>
    <row r="126" spans="1:5" x14ac:dyDescent="0.2">
      <c r="A126" t="s">
        <v>314</v>
      </c>
      <c r="B126" s="3" t="s">
        <v>264</v>
      </c>
      <c r="C126" t="s">
        <v>263</v>
      </c>
      <c r="D126" s="4">
        <v>16.45</v>
      </c>
      <c r="E126" s="6">
        <f>tblMenu[[#This Row],[Price no vat ]]*15%+tblMenu[[#This Row],[Price no vat ]]</f>
        <v>18.9175</v>
      </c>
    </row>
    <row r="127" spans="1:5" x14ac:dyDescent="0.2">
      <c r="A127" t="s">
        <v>314</v>
      </c>
      <c r="B127" s="3" t="s">
        <v>249</v>
      </c>
      <c r="C127" t="s">
        <v>265</v>
      </c>
      <c r="D127" s="4">
        <v>18.29</v>
      </c>
      <c r="E127" s="6">
        <f>tblMenu[[#This Row],[Price no vat ]]*15%+tblMenu[[#This Row],[Price no vat ]]</f>
        <v>21.0335</v>
      </c>
    </row>
    <row r="128" spans="1:5" x14ac:dyDescent="0.2">
      <c r="A128" t="s">
        <v>314</v>
      </c>
      <c r="B128" s="3" t="s">
        <v>267</v>
      </c>
      <c r="C128" t="s">
        <v>266</v>
      </c>
      <c r="D128" s="4">
        <v>6.09</v>
      </c>
      <c r="E128" s="6">
        <f>tblMenu[[#This Row],[Price no vat ]]*15%+tblMenu[[#This Row],[Price no vat ]]</f>
        <v>7.0034999999999998</v>
      </c>
    </row>
    <row r="129" spans="1:5" x14ac:dyDescent="0.2">
      <c r="A129" t="s">
        <v>314</v>
      </c>
      <c r="B129" s="3" t="s">
        <v>269</v>
      </c>
      <c r="C129" t="s">
        <v>268</v>
      </c>
      <c r="D129" s="4">
        <v>15.6</v>
      </c>
      <c r="E129" s="6">
        <f>tblMenu[[#This Row],[Price no vat ]]*15%+tblMenu[[#This Row],[Price no vat ]]</f>
        <v>17.939999999999998</v>
      </c>
    </row>
    <row r="130" spans="1:5" x14ac:dyDescent="0.2">
      <c r="A130" t="s">
        <v>314</v>
      </c>
      <c r="B130" s="3" t="s">
        <v>271</v>
      </c>
      <c r="C130" t="s">
        <v>270</v>
      </c>
      <c r="D130" s="4">
        <v>13.83</v>
      </c>
      <c r="E130" s="6">
        <f>tblMenu[[#This Row],[Price no vat ]]*15%+tblMenu[[#This Row],[Price no vat ]]</f>
        <v>15.904500000000001</v>
      </c>
    </row>
    <row r="131" spans="1:5" x14ac:dyDescent="0.2">
      <c r="A131" t="s">
        <v>314</v>
      </c>
      <c r="B131" s="3" t="s">
        <v>272</v>
      </c>
      <c r="C131" t="s">
        <v>273</v>
      </c>
      <c r="D131" s="4">
        <v>13.96</v>
      </c>
      <c r="E131" s="6">
        <f>tblMenu[[#This Row],[Price no vat ]]*15%+tblMenu[[#This Row],[Price no vat ]]</f>
        <v>16.054000000000002</v>
      </c>
    </row>
    <row r="132" spans="1:5" x14ac:dyDescent="0.2">
      <c r="A132" t="s">
        <v>314</v>
      </c>
      <c r="B132" s="3" t="s">
        <v>275</v>
      </c>
      <c r="C132" t="s">
        <v>274</v>
      </c>
      <c r="D132" s="4">
        <v>15.06</v>
      </c>
      <c r="E132" s="6">
        <f>tblMenu[[#This Row],[Price no vat ]]*15%+tblMenu[[#This Row],[Price no vat ]]</f>
        <v>17.318999999999999</v>
      </c>
    </row>
    <row r="133" spans="1:5" x14ac:dyDescent="0.2">
      <c r="A133" t="s">
        <v>314</v>
      </c>
      <c r="B133" s="3" t="s">
        <v>250</v>
      </c>
      <c r="C133" t="s">
        <v>250</v>
      </c>
      <c r="D133" s="4">
        <v>16.55</v>
      </c>
      <c r="E133" s="6">
        <f>tblMenu[[#This Row],[Price no vat ]]*15%+tblMenu[[#This Row],[Price no vat ]]</f>
        <v>19.032499999999999</v>
      </c>
    </row>
    <row r="134" spans="1:5" x14ac:dyDescent="0.2">
      <c r="A134" t="s">
        <v>314</v>
      </c>
      <c r="B134" s="3" t="s">
        <v>277</v>
      </c>
      <c r="C134" t="s">
        <v>276</v>
      </c>
      <c r="D134" s="4">
        <v>16.489999999999998</v>
      </c>
      <c r="E134" s="6">
        <f>tblMenu[[#This Row],[Price no vat ]]*15%+tblMenu[[#This Row],[Price no vat ]]</f>
        <v>18.963499999999996</v>
      </c>
    </row>
    <row r="135" spans="1:5" x14ac:dyDescent="0.2">
      <c r="A135" t="s">
        <v>314</v>
      </c>
      <c r="B135" t="s">
        <v>278</v>
      </c>
      <c r="C135" s="3" t="s">
        <v>251</v>
      </c>
      <c r="D135" s="4">
        <v>29</v>
      </c>
      <c r="E135" s="6">
        <f>tblMenu[[#This Row],[Price no vat ]]*15%+tblMenu[[#This Row],[Price no vat ]]</f>
        <v>33.35</v>
      </c>
    </row>
    <row r="136" spans="1:5" x14ac:dyDescent="0.2">
      <c r="A136" t="s">
        <v>314</v>
      </c>
      <c r="B136" s="3" t="s">
        <v>280</v>
      </c>
      <c r="C136" t="s">
        <v>279</v>
      </c>
      <c r="D136" s="4">
        <v>19.27</v>
      </c>
      <c r="E136" s="6">
        <f>tblMenu[[#This Row],[Price no vat ]]*15%+tblMenu[[#This Row],[Price no vat ]]</f>
        <v>22.160499999999999</v>
      </c>
    </row>
    <row r="137" spans="1:5" x14ac:dyDescent="0.2">
      <c r="A137" t="s">
        <v>314</v>
      </c>
      <c r="B137" s="3" t="s">
        <v>282</v>
      </c>
      <c r="C137" t="s">
        <v>281</v>
      </c>
      <c r="D137" s="4">
        <v>10.48</v>
      </c>
      <c r="E137" s="6">
        <f>tblMenu[[#This Row],[Price no vat ]]*15%+tblMenu[[#This Row],[Price no vat ]]</f>
        <v>12.052</v>
      </c>
    </row>
    <row r="138" spans="1:5" x14ac:dyDescent="0.2">
      <c r="A138" t="s">
        <v>314</v>
      </c>
      <c r="B138" s="3" t="s">
        <v>283</v>
      </c>
      <c r="C138" t="s">
        <v>284</v>
      </c>
      <c r="D138" s="4">
        <v>17.170000000000002</v>
      </c>
      <c r="E138" s="6">
        <f>tblMenu[[#This Row],[Price no vat ]]*15%+tblMenu[[#This Row],[Price no vat ]]</f>
        <v>19.745500000000003</v>
      </c>
    </row>
    <row r="139" spans="1:5" x14ac:dyDescent="0.2">
      <c r="A139" t="s">
        <v>314</v>
      </c>
      <c r="B139" s="3" t="s">
        <v>286</v>
      </c>
      <c r="C139" t="s">
        <v>285</v>
      </c>
      <c r="D139" s="4">
        <v>20.53</v>
      </c>
      <c r="E139" s="6">
        <f>tblMenu[[#This Row],[Price no vat ]]*15%+tblMenu[[#This Row],[Price no vat ]]</f>
        <v>23.609500000000001</v>
      </c>
    </row>
    <row r="140" spans="1:5" x14ac:dyDescent="0.2">
      <c r="A140" t="s">
        <v>314</v>
      </c>
      <c r="B140" s="3" t="s">
        <v>252</v>
      </c>
      <c r="C140" t="s">
        <v>287</v>
      </c>
      <c r="D140" s="4">
        <v>19.13</v>
      </c>
      <c r="E140" s="6">
        <f>tblMenu[[#This Row],[Price no vat ]]*15%+tblMenu[[#This Row],[Price no vat ]]</f>
        <v>21.999499999999998</v>
      </c>
    </row>
    <row r="141" spans="1:5" x14ac:dyDescent="0.2">
      <c r="A141" t="s">
        <v>314</v>
      </c>
      <c r="B141" s="3" t="s">
        <v>288</v>
      </c>
      <c r="C141" t="s">
        <v>289</v>
      </c>
      <c r="D141" s="4">
        <v>9.6</v>
      </c>
      <c r="E141" s="6">
        <f>tblMenu[[#This Row],[Price no vat ]]*15%+tblMenu[[#This Row],[Price no vat ]]</f>
        <v>11.04</v>
      </c>
    </row>
    <row r="142" spans="1:5" x14ac:dyDescent="0.2">
      <c r="A142" t="s">
        <v>314</v>
      </c>
      <c r="B142" s="3" t="s">
        <v>290</v>
      </c>
      <c r="C142" t="s">
        <v>291</v>
      </c>
      <c r="D142" s="4">
        <v>13.1</v>
      </c>
      <c r="E142" s="6">
        <f>tblMenu[[#This Row],[Price no vat ]]*15%+tblMenu[[#This Row],[Price no vat ]]</f>
        <v>15.065</v>
      </c>
    </row>
    <row r="143" spans="1:5" x14ac:dyDescent="0.2">
      <c r="A143" t="s">
        <v>314</v>
      </c>
      <c r="B143" s="3" t="s">
        <v>293</v>
      </c>
      <c r="C143" t="s">
        <v>292</v>
      </c>
      <c r="D143" s="4">
        <v>6.09</v>
      </c>
      <c r="E143" s="6">
        <f>tblMenu[[#This Row],[Price no vat ]]*15%+tblMenu[[#This Row],[Price no vat ]]</f>
        <v>7.0034999999999998</v>
      </c>
    </row>
    <row r="144" spans="1:5" x14ac:dyDescent="0.2">
      <c r="A144" t="s">
        <v>314</v>
      </c>
      <c r="B144" s="3" t="s">
        <v>294</v>
      </c>
      <c r="C144" t="s">
        <v>295</v>
      </c>
      <c r="D144" s="4">
        <v>19.559999999999999</v>
      </c>
      <c r="E144" s="6">
        <f>tblMenu[[#This Row],[Price no vat ]]*15%+tblMenu[[#This Row],[Price no vat ]]</f>
        <v>22.494</v>
      </c>
    </row>
    <row r="145" spans="1:5" x14ac:dyDescent="0.2">
      <c r="A145" t="s">
        <v>314</v>
      </c>
      <c r="B145" s="3" t="s">
        <v>297</v>
      </c>
      <c r="C145" t="s">
        <v>296</v>
      </c>
      <c r="D145" s="4">
        <v>19.010000000000002</v>
      </c>
      <c r="E145" s="6">
        <f>tblMenu[[#This Row],[Price no vat ]]*15%+tblMenu[[#This Row],[Price no vat ]]</f>
        <v>21.861500000000003</v>
      </c>
    </row>
    <row r="146" spans="1:5" x14ac:dyDescent="0.2">
      <c r="A146" t="s">
        <v>314</v>
      </c>
      <c r="B146" s="3" t="s">
        <v>299</v>
      </c>
      <c r="C146" t="s">
        <v>298</v>
      </c>
      <c r="D146" s="4">
        <v>19.440000000000001</v>
      </c>
      <c r="E146" s="6">
        <f>tblMenu[[#This Row],[Price no vat ]]*15%+tblMenu[[#This Row],[Price no vat ]]</f>
        <v>22.356000000000002</v>
      </c>
    </row>
    <row r="147" spans="1:5" x14ac:dyDescent="0.2">
      <c r="A147" t="s">
        <v>314</v>
      </c>
      <c r="B147" s="3" t="s">
        <v>301</v>
      </c>
      <c r="C147" t="s">
        <v>300</v>
      </c>
      <c r="D147" s="4">
        <v>15.57</v>
      </c>
      <c r="E147" s="6">
        <f>tblMenu[[#This Row],[Price no vat ]]*15%+tblMenu[[#This Row],[Price no vat ]]</f>
        <v>17.9055</v>
      </c>
    </row>
    <row r="148" spans="1:5" x14ac:dyDescent="0.2">
      <c r="A148" t="s">
        <v>314</v>
      </c>
      <c r="B148" s="3" t="s">
        <v>302</v>
      </c>
      <c r="C148" t="s">
        <v>303</v>
      </c>
      <c r="D148" s="4">
        <v>13.09</v>
      </c>
      <c r="E148" s="6">
        <f>tblMenu[[#This Row],[Price no vat ]]*15%+tblMenu[[#This Row],[Price no vat ]]</f>
        <v>15.0535</v>
      </c>
    </row>
    <row r="149" spans="1:5" x14ac:dyDescent="0.2">
      <c r="A149" t="s">
        <v>314</v>
      </c>
      <c r="B149" s="3" t="s">
        <v>253</v>
      </c>
      <c r="C149" t="s">
        <v>304</v>
      </c>
      <c r="D149" s="4">
        <v>49.62</v>
      </c>
      <c r="E149" s="6">
        <f>tblMenu[[#This Row],[Price no vat ]]*15%+tblMenu[[#This Row],[Price no vat ]]</f>
        <v>57.062999999999995</v>
      </c>
    </row>
    <row r="150" spans="1:5" x14ac:dyDescent="0.2">
      <c r="A150" t="s">
        <v>314</v>
      </c>
      <c r="B150" s="3" t="s">
        <v>306</v>
      </c>
      <c r="C150" t="s">
        <v>305</v>
      </c>
      <c r="D150" s="4">
        <v>19.64</v>
      </c>
      <c r="E150" s="6">
        <f>tblMenu[[#This Row],[Price no vat ]]*15%+tblMenu[[#This Row],[Price no vat ]]</f>
        <v>22.586000000000002</v>
      </c>
    </row>
    <row r="151" spans="1:5" x14ac:dyDescent="0.2">
      <c r="A151" t="s">
        <v>314</v>
      </c>
      <c r="B151" s="3" t="s">
        <v>307</v>
      </c>
      <c r="C151" t="s">
        <v>308</v>
      </c>
      <c r="D151" s="4">
        <v>19.62</v>
      </c>
      <c r="E151" s="6">
        <f>tblMenu[[#This Row],[Price no vat ]]*15%+tblMenu[[#This Row],[Price no vat ]]</f>
        <v>22.563000000000002</v>
      </c>
    </row>
    <row r="152" spans="1:5" x14ac:dyDescent="0.2">
      <c r="A152" t="s">
        <v>314</v>
      </c>
      <c r="B152" s="3" t="s">
        <v>310</v>
      </c>
      <c r="C152" t="s">
        <v>309</v>
      </c>
      <c r="D152" s="4">
        <v>19.63</v>
      </c>
      <c r="E152" s="6">
        <f>tblMenu[[#This Row],[Price no vat ]]*15%+tblMenu[[#This Row],[Price no vat ]]</f>
        <v>22.5745</v>
      </c>
    </row>
    <row r="153" spans="1:5" x14ac:dyDescent="0.2">
      <c r="A153" t="s">
        <v>314</v>
      </c>
      <c r="B153" s="3" t="s">
        <v>254</v>
      </c>
      <c r="C153" s="3" t="s">
        <v>254</v>
      </c>
      <c r="D153" s="4">
        <v>23.04</v>
      </c>
      <c r="E153" s="6">
        <f>tblMenu[[#This Row],[Price no vat ]]*15%+tblMenu[[#This Row],[Price no vat ]]</f>
        <v>26.495999999999999</v>
      </c>
    </row>
    <row r="154" spans="1:5" x14ac:dyDescent="0.2">
      <c r="A154" t="s">
        <v>314</v>
      </c>
      <c r="B154" s="3" t="s">
        <v>255</v>
      </c>
      <c r="C154" s="3" t="s">
        <v>255</v>
      </c>
      <c r="D154" s="4">
        <v>23.04</v>
      </c>
      <c r="E154" s="6">
        <f>tblMenu[[#This Row],[Price no vat ]]*15%+tblMenu[[#This Row],[Price no vat ]]</f>
        <v>26.495999999999999</v>
      </c>
    </row>
    <row r="155" spans="1:5" x14ac:dyDescent="0.2">
      <c r="A155" t="s">
        <v>314</v>
      </c>
      <c r="B155" s="3" t="s">
        <v>311</v>
      </c>
      <c r="C155" s="3" t="s">
        <v>256</v>
      </c>
      <c r="D155" s="4">
        <v>6.09</v>
      </c>
      <c r="E155" s="6">
        <f>tblMenu[[#This Row],[Price no vat ]]*15%+tblMenu[[#This Row],[Price no vat ]]</f>
        <v>7.0034999999999998</v>
      </c>
    </row>
    <row r="156" spans="1:5" x14ac:dyDescent="0.2">
      <c r="A156" t="s">
        <v>314</v>
      </c>
      <c r="B156" t="s">
        <v>312</v>
      </c>
      <c r="C156" s="3" t="s">
        <v>257</v>
      </c>
      <c r="D156" s="4">
        <v>25.22</v>
      </c>
      <c r="E156" s="6">
        <f>tblMenu[[#This Row],[Price no vat ]]*15%+tblMenu[[#This Row],[Price no vat ]]</f>
        <v>29.003</v>
      </c>
    </row>
    <row r="157" spans="1:5" x14ac:dyDescent="0.2">
      <c r="A157" t="s">
        <v>314</v>
      </c>
      <c r="B157" t="s">
        <v>313</v>
      </c>
      <c r="C157" s="3" t="s">
        <v>258</v>
      </c>
      <c r="D157" s="4">
        <v>10.43</v>
      </c>
      <c r="E157" s="6">
        <f>tblMenu[[#This Row],[Price no vat ]]*15%+tblMenu[[#This Row],[Price no vat ]]</f>
        <v>11.9945</v>
      </c>
    </row>
    <row r="158" spans="1:5" x14ac:dyDescent="0.2">
      <c r="A158" t="s">
        <v>335</v>
      </c>
      <c r="B158" s="3" t="s">
        <v>320</v>
      </c>
      <c r="C158" s="3" t="s">
        <v>315</v>
      </c>
      <c r="D158" s="4">
        <v>20.783000000000001</v>
      </c>
      <c r="E158" s="6">
        <f>tblMenu[[#This Row],[Price no vat ]]*15%+tblMenu[[#This Row],[Price no vat ]]</f>
        <v>23.900450000000003</v>
      </c>
    </row>
    <row r="159" spans="1:5" x14ac:dyDescent="0.2">
      <c r="A159" t="s">
        <v>335</v>
      </c>
      <c r="B159" s="3" t="s">
        <v>316</v>
      </c>
      <c r="C159" t="s">
        <v>321</v>
      </c>
      <c r="D159" s="4">
        <v>86.087000000000003</v>
      </c>
      <c r="E159" s="6">
        <f>tblMenu[[#This Row],[Price no vat ]]*15%+tblMenu[[#This Row],[Price no vat ]]</f>
        <v>99.000050000000002</v>
      </c>
    </row>
    <row r="160" spans="1:5" x14ac:dyDescent="0.2">
      <c r="A160" t="s">
        <v>335</v>
      </c>
      <c r="B160" s="3" t="s">
        <v>323</v>
      </c>
      <c r="C160" t="s">
        <v>322</v>
      </c>
      <c r="D160" s="4">
        <v>34.695999999999998</v>
      </c>
      <c r="E160" s="6">
        <f>tblMenu[[#This Row],[Price no vat ]]*15%+tblMenu[[#This Row],[Price no vat ]]</f>
        <v>39.900399999999998</v>
      </c>
    </row>
    <row r="161" spans="1:5" x14ac:dyDescent="0.2">
      <c r="A161" t="s">
        <v>335</v>
      </c>
      <c r="B161" s="3" t="s">
        <v>317</v>
      </c>
      <c r="C161" t="s">
        <v>324</v>
      </c>
      <c r="D161" s="4">
        <v>85.507000000000005</v>
      </c>
      <c r="E161" s="6">
        <f>tblMenu[[#This Row],[Price no vat ]]*15%+tblMenu[[#This Row],[Price no vat ]]</f>
        <v>98.33305</v>
      </c>
    </row>
    <row r="162" spans="1:5" x14ac:dyDescent="0.2">
      <c r="A162" t="s">
        <v>335</v>
      </c>
      <c r="B162" t="s">
        <v>325</v>
      </c>
      <c r="C162" s="3" t="s">
        <v>318</v>
      </c>
      <c r="D162" s="4">
        <v>21.652000000000001</v>
      </c>
      <c r="E162" s="6">
        <f>tblMenu[[#This Row],[Price no vat ]]*15%+tblMenu[[#This Row],[Price no vat ]]</f>
        <v>24.899800000000003</v>
      </c>
    </row>
    <row r="163" spans="1:5" x14ac:dyDescent="0.2">
      <c r="A163" t="s">
        <v>335</v>
      </c>
      <c r="B163" s="3" t="s">
        <v>327</v>
      </c>
      <c r="C163" t="s">
        <v>326</v>
      </c>
      <c r="D163" s="4">
        <v>25.216999999999999</v>
      </c>
      <c r="E163" s="6">
        <f>tblMenu[[#This Row],[Price no vat ]]*15%+tblMenu[[#This Row],[Price no vat ]]</f>
        <v>28.999549999999999</v>
      </c>
    </row>
    <row r="164" spans="1:5" x14ac:dyDescent="0.2">
      <c r="A164" t="s">
        <v>335</v>
      </c>
      <c r="B164" s="3" t="s">
        <v>329</v>
      </c>
      <c r="C164" t="s">
        <v>328</v>
      </c>
      <c r="D164" s="4">
        <v>47.795999999999999</v>
      </c>
      <c r="E164" s="6">
        <f>tblMenu[[#This Row],[Price no vat ]]*15%+tblMenu[[#This Row],[Price no vat ]]</f>
        <v>54.965400000000002</v>
      </c>
    </row>
    <row r="165" spans="1:5" x14ac:dyDescent="0.2">
      <c r="A165" t="s">
        <v>335</v>
      </c>
      <c r="B165" s="3" t="s">
        <v>319</v>
      </c>
      <c r="C165" t="s">
        <v>330</v>
      </c>
      <c r="D165" s="4">
        <v>84.844999999999999</v>
      </c>
      <c r="E165" s="6">
        <f>tblMenu[[#This Row],[Price no vat ]]*15%+tblMenu[[#This Row],[Price no vat ]]</f>
        <v>97.571749999999994</v>
      </c>
    </row>
    <row r="166" spans="1:5" x14ac:dyDescent="0.2">
      <c r="A166" t="s">
        <v>335</v>
      </c>
      <c r="B166" s="3" t="s">
        <v>332</v>
      </c>
      <c r="C166" t="s">
        <v>331</v>
      </c>
      <c r="D166" s="4">
        <v>48.173999999999999</v>
      </c>
      <c r="E166" s="6">
        <f>tblMenu[[#This Row],[Price no vat ]]*15%+tblMenu[[#This Row],[Price no vat ]]</f>
        <v>55.400100000000002</v>
      </c>
    </row>
    <row r="167" spans="1:5" x14ac:dyDescent="0.2">
      <c r="A167" t="s">
        <v>335</v>
      </c>
      <c r="B167" s="3" t="s">
        <v>334</v>
      </c>
      <c r="C167" t="s">
        <v>333</v>
      </c>
      <c r="D167" s="4">
        <v>42.609000000000002</v>
      </c>
      <c r="E167" s="6">
        <f>tblMenu[[#This Row],[Price no vat ]]*15%+tblMenu[[#This Row],[Price no vat ]]</f>
        <v>49.000350000000005</v>
      </c>
    </row>
  </sheetData>
  <dataValidations count="1">
    <dataValidation type="decimal" operator="greaterThanOrEqual" allowBlank="1" sqref="D100:D122" xr:uid="{00000000-0002-0000-0000-000000000000}">
      <formula1>0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ALBRBRI</cp:lastModifiedBy>
  <dcterms:created xsi:type="dcterms:W3CDTF">2026-01-11T08:41:22Z</dcterms:created>
  <dcterms:modified xsi:type="dcterms:W3CDTF">2026-01-13T11:36:40Z</dcterms:modified>
</cp:coreProperties>
</file>