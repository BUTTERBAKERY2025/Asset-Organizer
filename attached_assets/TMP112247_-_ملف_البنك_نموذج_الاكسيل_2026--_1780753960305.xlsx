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sheebsadels/Downloads/"/>
    </mc:Choice>
  </mc:AlternateContent>
  <xr:revisionPtr revIDLastSave="0" documentId="13_ncr:1_{06AB130D-38E7-3740-9399-4DA4FEAB5289}" xr6:coauthVersionLast="47" xr6:coauthVersionMax="47" xr10:uidLastSave="{00000000-0000-0000-0000-000000000000}"/>
  <bookViews>
    <workbookView xWindow="4660" yWindow="600" windowWidth="40140" windowHeight="22800" activeTab="1" xr2:uid="{00000000-000D-0000-FFFF-FFFF00000000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8" i="1"/>
  <c r="F19" i="1"/>
  <c r="F5" i="1"/>
  <c r="F6" i="1"/>
  <c r="F7" i="1"/>
  <c r="F8" i="1"/>
  <c r="F9" i="1"/>
  <c r="F10" i="1"/>
  <c r="F12" i="1"/>
  <c r="F13" i="1"/>
  <c r="F14" i="1"/>
  <c r="F15" i="1"/>
  <c r="F16" i="1"/>
  <c r="F17" i="1"/>
  <c r="F4" i="1" l="1"/>
  <c r="E2" i="1" l="1"/>
</calcChain>
</file>

<file path=xl/sharedStrings.xml><?xml version="1.0" encoding="utf-8"?>
<sst xmlns="http://schemas.openxmlformats.org/spreadsheetml/2006/main" count="204" uniqueCount="156">
  <si>
    <t>SN</t>
  </si>
  <si>
    <t>111</t>
  </si>
  <si>
    <t>Type</t>
  </si>
  <si>
    <t xml:space="preserve">اسم العميل </t>
  </si>
  <si>
    <t>رمز الإتفاقية</t>
  </si>
  <si>
    <t>حساب التمويل</t>
  </si>
  <si>
    <t>رقم الفرع</t>
  </si>
  <si>
    <t xml:space="preserve">رقم  المنشأه في مكتب العمل </t>
  </si>
  <si>
    <t>رقم المنشأه في الغرفة التجارية</t>
  </si>
  <si>
    <t>رمز البنك</t>
  </si>
  <si>
    <t>العملة</t>
  </si>
  <si>
    <t xml:space="preserve">رقم الدفعة </t>
  </si>
  <si>
    <t xml:space="preserve">مرجع الملف </t>
  </si>
  <si>
    <t>هوية المستفيد/ المرجع</t>
  </si>
  <si>
    <t>المستفيد / اسم الموظف</t>
  </si>
  <si>
    <t xml:space="preserve">رقم الحساب </t>
  </si>
  <si>
    <t>إجمالي المبلغ</t>
  </si>
  <si>
    <t>الراتب الأساسي</t>
  </si>
  <si>
    <t>بدل السكن</t>
  </si>
  <si>
    <t>دخل آخر</t>
  </si>
  <si>
    <t>الخصومات</t>
  </si>
  <si>
    <t>العنوان</t>
  </si>
  <si>
    <t xml:space="preserve">العملة </t>
  </si>
  <si>
    <t>الحالة</t>
  </si>
  <si>
    <t>Status</t>
  </si>
  <si>
    <t>Currency</t>
  </si>
  <si>
    <t>Bank code</t>
  </si>
  <si>
    <t>active</t>
  </si>
  <si>
    <t>AED</t>
  </si>
  <si>
    <t>UAE DIRHAM</t>
  </si>
  <si>
    <t>AAALSARIXXX</t>
  </si>
  <si>
    <t>inactive</t>
  </si>
  <si>
    <t>AUD</t>
  </si>
  <si>
    <t>AUSTRALIAN DOLLAR</t>
  </si>
  <si>
    <t>ALBISARIXXX</t>
  </si>
  <si>
    <t>BANK AL BILAD</t>
  </si>
  <si>
    <t>BHD</t>
  </si>
  <si>
    <t>BAHRAINI DINAR</t>
  </si>
  <si>
    <t>ARNBSARIXXX</t>
  </si>
  <si>
    <t>ARAB NATIONAL BANK</t>
  </si>
  <si>
    <t>CAD</t>
  </si>
  <si>
    <t>CANADIAN DOLLAR</t>
  </si>
  <si>
    <t>BJAZSAJEXXX</t>
  </si>
  <si>
    <t>BANK AL-JAZIRA</t>
  </si>
  <si>
    <t>CHF</t>
  </si>
  <si>
    <t>SWISS FRANC</t>
  </si>
  <si>
    <t>BMUSSARIXXX</t>
  </si>
  <si>
    <t>BANK MUSCAT</t>
  </si>
  <si>
    <t>DKK</t>
  </si>
  <si>
    <t>DANISH KRONE</t>
  </si>
  <si>
    <t>BNPASARIXXX</t>
  </si>
  <si>
    <t>BNP PARIBAS SAUDI ARABIA</t>
  </si>
  <si>
    <t>EGP</t>
  </si>
  <si>
    <t>EGYPTIAN POUND</t>
  </si>
  <si>
    <t>BSFRSARIXXX</t>
  </si>
  <si>
    <t>BANQUE SAUDI FRANSI</t>
  </si>
  <si>
    <t>EUR</t>
  </si>
  <si>
    <t>EURO CURRENCY</t>
  </si>
  <si>
    <t>CHASSARIXXX</t>
  </si>
  <si>
    <t>GBP</t>
  </si>
  <si>
    <t>POUND STERLING</t>
  </si>
  <si>
    <t>DEUTSARIXXX</t>
  </si>
  <si>
    <t>DEUTSCHE BANK</t>
  </si>
  <si>
    <t>HKD</t>
  </si>
  <si>
    <t>HONG KONG DOLLAR</t>
  </si>
  <si>
    <t>EBILSARIXXX</t>
  </si>
  <si>
    <t>EMIRATES BANK INTERNATIONAL PJSC</t>
  </si>
  <si>
    <t>IDR</t>
  </si>
  <si>
    <t>INDONESIAN RUPIAH</t>
  </si>
  <si>
    <t>GULFSARIXXX</t>
  </si>
  <si>
    <t>GULF INTERNATIONAL BANK B.S.C., RIY</t>
  </si>
  <si>
    <t>INR</t>
  </si>
  <si>
    <t>INDIAN RUPEE</t>
  </si>
  <si>
    <t>INMASARIXXX</t>
  </si>
  <si>
    <t>AL INMA BANK</t>
  </si>
  <si>
    <t>JOD</t>
  </si>
  <si>
    <t>JORDANIAN DINAR</t>
  </si>
  <si>
    <t>NBOBSARIXXX</t>
  </si>
  <si>
    <t>NATIONAL BANK OF BAHRAIN</t>
  </si>
  <si>
    <t>JPY</t>
  </si>
  <si>
    <t>JAPANESE YEN</t>
  </si>
  <si>
    <t>NBOKSAJEXXX</t>
  </si>
  <si>
    <t>NATIONAL BANK OF KWIT</t>
  </si>
  <si>
    <t>KWD</t>
  </si>
  <si>
    <t>KUWAITI DINAR</t>
  </si>
  <si>
    <t>NBPASARIXXX</t>
  </si>
  <si>
    <t>NATIONAL BANK OF PAKISTAN</t>
  </si>
  <si>
    <t>MAD</t>
  </si>
  <si>
    <t>MOROCCAN DIRHAM</t>
  </si>
  <si>
    <t>NCBKSAJEXXX</t>
  </si>
  <si>
    <t>NATIONAL COMMERCIAL BANK</t>
  </si>
  <si>
    <t>NOK</t>
  </si>
  <si>
    <t>NORWEGIAN</t>
  </si>
  <si>
    <t>RIBLSARIXXX</t>
  </si>
  <si>
    <t>RIYAD BANK</t>
  </si>
  <si>
    <t>NZD</t>
  </si>
  <si>
    <t>NEW ZEALAND DOLLAR</t>
  </si>
  <si>
    <t>RJHISARIXXX</t>
  </si>
  <si>
    <t>ALRAJHI BANKING AND INVESTMENT CORP</t>
  </si>
  <si>
    <t>OMR</t>
  </si>
  <si>
    <t>OMANI RIYAL</t>
  </si>
  <si>
    <t>SABBSARIXXX</t>
  </si>
  <si>
    <t>SAUDI BRITISH BANK</t>
  </si>
  <si>
    <t>PHP</t>
  </si>
  <si>
    <t>PHILIPPINE PESO</t>
  </si>
  <si>
    <t>PKR</t>
  </si>
  <si>
    <t>PAKISTAN RUPEE</t>
  </si>
  <si>
    <t>QAR</t>
  </si>
  <si>
    <t>QATARI RIYAL</t>
  </si>
  <si>
    <t>SIBCSARIXXX</t>
  </si>
  <si>
    <t>SAR</t>
  </si>
  <si>
    <t>SAUDI RIYAL</t>
  </si>
  <si>
    <t>SEK</t>
  </si>
  <si>
    <t>SWEDISH KRONE</t>
  </si>
  <si>
    <t>SGD</t>
  </si>
  <si>
    <t>SINGAPORE DOLLAR</t>
  </si>
  <si>
    <t>TRL</t>
  </si>
  <si>
    <t>TURKISH LIRA</t>
  </si>
  <si>
    <t>USD</t>
  </si>
  <si>
    <t>US DOLLAR</t>
  </si>
  <si>
    <t>YER</t>
  </si>
  <si>
    <t>YEMENI RIYAL</t>
  </si>
  <si>
    <t>ZAR</t>
  </si>
  <si>
    <t>SOUTH AFRICAN RAND</t>
  </si>
  <si>
    <t>RIBL</t>
  </si>
  <si>
    <t>BOTKSARIXXX</t>
  </si>
  <si>
    <t>ICBKSARIXXX</t>
  </si>
  <si>
    <t>SAMASARIXXX</t>
  </si>
  <si>
    <t>SBINSAJEXXX</t>
  </si>
  <si>
    <t>SAUDI HOLLANDI BANK</t>
  </si>
  <si>
    <t>MUFG BANK, LTD. RIYADH BRANCH</t>
  </si>
  <si>
    <t>JPMORGAN CHASE BANK, N.A. RIYADH</t>
  </si>
  <si>
    <t>FIRST ABU DHABI BANK</t>
  </si>
  <si>
    <t>INDUSTRIAL AND COMMERCIAL BANK OF CHINA RIYADH BRANCH, SA</t>
  </si>
  <si>
    <t>SAMA</t>
  </si>
  <si>
    <t>STATE BANK OF INDIA</t>
  </si>
  <si>
    <t>THE SAUDI INVESTMENT BANK</t>
  </si>
  <si>
    <t>T.C. ZIRAAT BANKASI A.S.</t>
  </si>
  <si>
    <t>TCZBSAJEXX</t>
  </si>
  <si>
    <t>تاريخ الإستحقاق (DDMMYYYY)</t>
  </si>
  <si>
    <t>مرجع  الدفع</t>
  </si>
  <si>
    <t>وصف  الدفع</t>
  </si>
  <si>
    <t>DBAKSARIXXX</t>
  </si>
  <si>
    <t>STCJSARIXXX</t>
  </si>
  <si>
    <t>FABMSARIXXX</t>
  </si>
  <si>
    <t>SAMBSARIXXX</t>
  </si>
  <si>
    <t>BANK SAMBA</t>
  </si>
  <si>
    <t xml:space="preserve">D360 Bank </t>
  </si>
  <si>
    <t>STC Bank</t>
  </si>
  <si>
    <t>05/02/2026</t>
  </si>
  <si>
    <t>11-2057146</t>
  </si>
  <si>
    <t xml:space="preserve">شركة الزبد الافضل </t>
  </si>
  <si>
    <t>P0023453</t>
  </si>
  <si>
    <t>5061555359940</t>
  </si>
  <si>
    <t>خميس مشيط</t>
  </si>
  <si>
    <t>نشط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</si>
</sst>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091C14"/>
      <name val="Droid Arabic Kufi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287A5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0" fillId="0" borderId="1" xfId="0" quotePrefix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49" fontId="0" fillId="0" borderId="1" xfId="0" applyNumberFormat="1" applyBorder="1"/>
    <xf numFmtId="49" fontId="1" fillId="3" borderId="1" xfId="0" applyNumberFormat="1" applyFont="1" applyFill="1" applyBorder="1"/>
    <xf numFmtId="49" fontId="0" fillId="0" borderId="1" xfId="0" quotePrefix="1" applyNumberFormat="1" applyBorder="1"/>
    <xf numFmtId="49" fontId="0" fillId="0" borderId="0" xfId="0" applyNumberFormat="1"/>
    <xf numFmtId="0" fontId="3" fillId="0" borderId="0" xfId="0" applyFont="1"/>
    <xf numFmtId="1" fontId="4" fillId="0" borderId="0" xfId="0" applyNumberFormat="1" applyFont="1"/>
    <xf numFmtId="0" fontId="5" fillId="0" borderId="0" xfId="0" applyFont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7A51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O19"/>
  <sheetViews>
    <sheetView zoomScaleNormal="100" workbookViewId="0">
      <selection activeCell="N4" sqref="N4:N19"/>
    </sheetView>
  </sheetViews>
  <sheetFormatPr baseColWidth="10" defaultColWidth="8.83203125" defaultRowHeight="15"/>
  <cols>
    <col min="1" max="1" width="5.1640625" style="10" bestFit="1" customWidth="1"/>
    <col min="2" max="2" width="15" bestFit="1" customWidth="1"/>
    <col min="3" max="3" width="22.1640625" bestFit="1" customWidth="1"/>
    <col min="4" max="4" width="26.6640625" style="10" bestFit="1" customWidth="1"/>
    <col min="5" max="5" width="12.1640625" bestFit="1" customWidth="1"/>
    <col min="6" max="6" width="15.1640625" bestFit="1" customWidth="1"/>
    <col min="7" max="7" width="18.1640625" customWidth="1"/>
    <col min="8" max="8" width="17.5" customWidth="1"/>
    <col min="9" max="9" width="10.33203125" bestFit="1" customWidth="1"/>
    <col min="10" max="10" width="11" bestFit="1" customWidth="1"/>
    <col min="11" max="11" width="12.5" customWidth="1"/>
    <col min="12" max="12" width="9" customWidth="1"/>
    <col min="13" max="13" width="14" bestFit="1" customWidth="1"/>
    <col min="14" max="14" width="37.6640625" customWidth="1"/>
    <col min="15" max="15" width="14.33203125" customWidth="1"/>
  </cols>
  <sheetData>
    <row r="1" spans="1:15" ht="32.25" customHeight="1">
      <c r="A1" s="8" t="s">
        <v>2</v>
      </c>
      <c r="B1" s="1" t="s">
        <v>3</v>
      </c>
      <c r="C1" s="1" t="s">
        <v>4</v>
      </c>
      <c r="D1" s="8" t="s">
        <v>5</v>
      </c>
      <c r="E1" s="1" t="s">
        <v>6</v>
      </c>
      <c r="F1" s="2" t="s">
        <v>139</v>
      </c>
      <c r="G1" s="2" t="s">
        <v>7</v>
      </c>
      <c r="H1" s="2" t="s">
        <v>8</v>
      </c>
      <c r="I1" s="1" t="s">
        <v>9</v>
      </c>
      <c r="J1" s="1" t="s">
        <v>10</v>
      </c>
      <c r="K1" s="1" t="s">
        <v>11</v>
      </c>
      <c r="L1" s="14" t="s">
        <v>12</v>
      </c>
      <c r="M1" s="15"/>
      <c r="N1" s="15"/>
      <c r="O1" s="16"/>
    </row>
    <row r="2" spans="1:15" ht="19">
      <c r="A2" s="9" t="s">
        <v>1</v>
      </c>
      <c r="B2" s="3" t="s">
        <v>151</v>
      </c>
      <c r="C2" s="13" t="s">
        <v>152</v>
      </c>
      <c r="D2" s="9" t="s">
        <v>153</v>
      </c>
      <c r="E2" s="4" t="str">
        <f>LEFT(D2, 3)</f>
        <v>506</v>
      </c>
      <c r="F2" s="7" t="s">
        <v>149</v>
      </c>
      <c r="G2" s="3" t="s">
        <v>150</v>
      </c>
      <c r="H2" s="12">
        <v>701011175690</v>
      </c>
      <c r="I2" s="3" t="s">
        <v>124</v>
      </c>
      <c r="J2" s="3" t="s">
        <v>110</v>
      </c>
      <c r="K2" s="4"/>
      <c r="L2" s="17"/>
      <c r="M2" s="18"/>
      <c r="N2" s="18"/>
      <c r="O2" s="19"/>
    </row>
    <row r="3" spans="1:15" ht="16">
      <c r="A3" s="8" t="s">
        <v>0</v>
      </c>
      <c r="B3" s="1" t="s">
        <v>13</v>
      </c>
      <c r="C3" s="1" t="s">
        <v>14</v>
      </c>
      <c r="D3" s="8" t="s">
        <v>15</v>
      </c>
      <c r="E3" s="1" t="s">
        <v>9</v>
      </c>
      <c r="F3" s="1" t="s">
        <v>16</v>
      </c>
      <c r="G3" s="5" t="s">
        <v>17</v>
      </c>
      <c r="H3" s="5" t="s">
        <v>18</v>
      </c>
      <c r="I3" s="6" t="s">
        <v>19</v>
      </c>
      <c r="J3" s="5" t="s">
        <v>20</v>
      </c>
      <c r="K3" s="1" t="s">
        <v>21</v>
      </c>
      <c r="L3" s="1" t="s">
        <v>22</v>
      </c>
      <c r="M3" s="1" t="s">
        <v>23</v>
      </c>
      <c r="N3" s="2" t="s">
        <v>141</v>
      </c>
      <c r="O3" s="2" t="s">
        <v>140</v>
      </c>
    </row>
    <row r="4" spans="1:15">
      <c r="A4" s="9"/>
      <c r="E4" s="4"/>
      <c r="F4" s="3">
        <f t="shared" ref="F4:F19" si="0">SUM(G4:I4)-J4</f>
        <v>0</v>
      </c>
      <c r="K4" t="s">
        <v>154</v>
      </c>
      <c r="L4" s="3" t="s">
        <v>110</v>
      </c>
      <c r="M4" t="s">
        <v>155</v>
      </c>
    </row>
    <row r="5" spans="1:15">
      <c r="A5" s="9"/>
      <c r="E5" s="4"/>
      <c r="F5" s="3">
        <f t="shared" si="0"/>
        <v>0</v>
      </c>
      <c r="K5" t="s">
        <v>154</v>
      </c>
      <c r="L5" s="3" t="s">
        <v>110</v>
      </c>
      <c r="M5" t="s">
        <v>155</v>
      </c>
    </row>
    <row r="6" spans="1:15">
      <c r="A6" s="9"/>
      <c r="C6" s="11"/>
      <c r="E6" s="4"/>
      <c r="F6" s="3">
        <f t="shared" si="0"/>
        <v>0</v>
      </c>
      <c r="K6" t="s">
        <v>154</v>
      </c>
      <c r="L6" s="3" t="s">
        <v>110</v>
      </c>
      <c r="M6" t="s">
        <v>155</v>
      </c>
    </row>
    <row r="7" spans="1:15">
      <c r="A7" s="9"/>
      <c r="C7" s="11"/>
      <c r="E7" s="4"/>
      <c r="F7" s="3">
        <f t="shared" si="0"/>
        <v>0</v>
      </c>
      <c r="K7" t="s">
        <v>154</v>
      </c>
      <c r="L7" s="3" t="s">
        <v>110</v>
      </c>
      <c r="M7" t="s">
        <v>155</v>
      </c>
    </row>
    <row r="8" spans="1:15">
      <c r="A8" s="9"/>
      <c r="C8" s="11"/>
      <c r="E8" s="4"/>
      <c r="F8" s="3">
        <f t="shared" si="0"/>
        <v>0</v>
      </c>
      <c r="K8" t="s">
        <v>154</v>
      </c>
      <c r="L8" s="3" t="s">
        <v>110</v>
      </c>
      <c r="M8" t="s">
        <v>155</v>
      </c>
    </row>
    <row r="9" spans="1:15">
      <c r="A9" s="9"/>
      <c r="C9" s="11"/>
      <c r="E9" s="4"/>
      <c r="F9" s="3">
        <f t="shared" si="0"/>
        <v>0</v>
      </c>
      <c r="K9" t="s">
        <v>154</v>
      </c>
      <c r="L9" s="3" t="s">
        <v>110</v>
      </c>
      <c r="M9" t="s">
        <v>155</v>
      </c>
    </row>
    <row r="10" spans="1:15">
      <c r="A10" s="9"/>
      <c r="C10" s="11"/>
      <c r="E10" s="4"/>
      <c r="F10" s="3">
        <f t="shared" si="0"/>
        <v>0</v>
      </c>
      <c r="K10" t="s">
        <v>154</v>
      </c>
      <c r="L10" s="3" t="s">
        <v>110</v>
      </c>
      <c r="M10" t="s">
        <v>155</v>
      </c>
    </row>
    <row r="11" spans="1:15">
      <c r="A11" s="9"/>
      <c r="C11" s="11"/>
      <c r="E11" s="4"/>
      <c r="F11" s="3">
        <f t="shared" ref="F11" si="1">SUM(G11:I11)-J11</f>
        <v>0</v>
      </c>
      <c r="K11" t="s">
        <v>154</v>
      </c>
      <c r="L11" s="3" t="s">
        <v>110</v>
      </c>
      <c r="M11" t="s">
        <v>155</v>
      </c>
    </row>
    <row r="12" spans="1:15">
      <c r="A12" s="9"/>
      <c r="E12" s="4"/>
      <c r="F12" s="3">
        <f t="shared" si="0"/>
        <v>0</v>
      </c>
      <c r="K12" t="s">
        <v>154</v>
      </c>
      <c r="L12" s="3" t="s">
        <v>110</v>
      </c>
      <c r="M12" t="s">
        <v>155</v>
      </c>
    </row>
    <row r="13" spans="1:15">
      <c r="A13" s="9"/>
      <c r="C13" s="11"/>
      <c r="E13" s="4"/>
      <c r="F13" s="3">
        <f t="shared" si="0"/>
        <v>0</v>
      </c>
      <c r="K13" t="s">
        <v>154</v>
      </c>
      <c r="L13" s="3" t="s">
        <v>110</v>
      </c>
      <c r="M13" t="s">
        <v>155</v>
      </c>
    </row>
    <row r="14" spans="1:15">
      <c r="A14" s="9"/>
      <c r="C14" s="11"/>
      <c r="E14" s="4"/>
      <c r="F14" s="3">
        <f t="shared" si="0"/>
        <v>0</v>
      </c>
      <c r="K14" t="s">
        <v>154</v>
      </c>
      <c r="L14" s="3" t="s">
        <v>110</v>
      </c>
      <c r="M14" t="s">
        <v>155</v>
      </c>
    </row>
    <row r="15" spans="1:15">
      <c r="A15" s="9"/>
      <c r="C15" s="11"/>
      <c r="E15" s="4"/>
      <c r="F15" s="3">
        <f t="shared" si="0"/>
        <v>0</v>
      </c>
      <c r="K15" t="s">
        <v>154</v>
      </c>
      <c r="L15" s="3" t="s">
        <v>110</v>
      </c>
      <c r="M15" t="s">
        <v>155</v>
      </c>
    </row>
    <row r="16" spans="1:15">
      <c r="A16" s="9"/>
      <c r="C16" s="11"/>
      <c r="E16" s="4"/>
      <c r="F16" s="3">
        <f t="shared" si="0"/>
        <v>0</v>
      </c>
      <c r="K16" t="s">
        <v>154</v>
      </c>
      <c r="L16" s="3" t="s">
        <v>110</v>
      </c>
      <c r="M16" t="s">
        <v>155</v>
      </c>
    </row>
    <row r="17" spans="1:13">
      <c r="A17" s="9"/>
      <c r="C17" s="11"/>
      <c r="E17" s="4"/>
      <c r="F17" s="3">
        <f t="shared" si="0"/>
        <v>0</v>
      </c>
      <c r="K17" t="s">
        <v>154</v>
      </c>
      <c r="L17" s="3" t="s">
        <v>110</v>
      </c>
      <c r="M17" t="s">
        <v>155</v>
      </c>
    </row>
    <row r="18" spans="1:13">
      <c r="A18" s="9"/>
      <c r="C18" s="11"/>
      <c r="E18" s="4"/>
      <c r="F18" s="3">
        <f t="shared" si="0"/>
        <v>0</v>
      </c>
      <c r="K18" t="s">
        <v>154</v>
      </c>
      <c r="L18" s="3" t="s">
        <v>110</v>
      </c>
      <c r="M18" t="s">
        <v>155</v>
      </c>
    </row>
    <row r="19" spans="1:13">
      <c r="A19" s="9"/>
      <c r="C19" s="11"/>
      <c r="E19" s="4"/>
      <c r="F19" s="3">
        <f t="shared" si="0"/>
        <v>0</v>
      </c>
      <c r="K19" t="s">
        <v>154</v>
      </c>
      <c r="L19" s="3" t="s">
        <v>110</v>
      </c>
      <c r="M19" t="s">
        <v>155</v>
      </c>
    </row>
  </sheetData>
  <mergeCells count="2">
    <mergeCell ref="L1:O1"/>
    <mergeCell ref="L2:O2"/>
  </mergeCells>
  <pageMargins left="0.7" right="0.7" top="0.75" bottom="0.75" header="0.3" footer="0.3"/>
  <pageSetup paperSize="9" orientation="portrait" horizontalDpi="4294967295" verticalDpi="4294967295" r:id="rId1"/>
  <headerFooter>
    <oddHeader>&amp;Cبي</oddHeader>
    <oddFooter>&amp;L&amp;"Arial,Regular"&amp;08&amp;K0000FFInternal</oddFooter>
    <evenFooter>&amp;L&amp;"Arial,Regular"&amp;08&amp;K0000FFInternal</evenFooter>
    <firstFooter>&amp;L&amp;"Arial,Regular"&amp;08&amp;K0000FFInternal</first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data!$C$2:$C$30</xm:f>
          </x14:formula1>
          <xm:sqref>J2 L4:L19</xm:sqref>
        </x14:dataValidation>
        <x14:dataValidation type="list" allowBlank="1" showInputMessage="1" showErrorMessage="1" xr:uid="{00000000-0002-0000-0000-000001000000}">
          <x14:formula1>
            <xm:f>data!$F$2:$F$30</xm:f>
          </x14:formula1>
          <xm:sqref>E4:E19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G30"/>
  <sheetViews>
    <sheetView tabSelected="1" zoomScale="85" zoomScaleNormal="85" workbookViewId="0">
      <selection activeCell="V41" sqref="V41"/>
    </sheetView>
  </sheetViews>
  <sheetFormatPr baseColWidth="10" defaultColWidth="8.83203125" defaultRowHeight="15"/>
  <cols>
    <col min="4" max="4" width="21.5" bestFit="1" customWidth="1"/>
    <col min="6" max="6" width="13.6640625" bestFit="1" customWidth="1"/>
    <col min="7" max="7" width="53.1640625" bestFit="1" customWidth="1"/>
  </cols>
  <sheetData>
    <row r="1" spans="1:7">
      <c r="A1" t="s">
        <v>24</v>
      </c>
      <c r="C1" t="s">
        <v>25</v>
      </c>
      <c r="F1" t="s">
        <v>26</v>
      </c>
    </row>
    <row r="2" spans="1:7">
      <c r="A2" t="s">
        <v>27</v>
      </c>
      <c r="C2" t="s">
        <v>28</v>
      </c>
      <c r="D2" t="s">
        <v>29</v>
      </c>
      <c r="F2" t="s">
        <v>30</v>
      </c>
      <c r="G2" t="s">
        <v>129</v>
      </c>
    </row>
    <row r="3" spans="1:7">
      <c r="A3" t="s">
        <v>31</v>
      </c>
      <c r="C3" t="s">
        <v>32</v>
      </c>
      <c r="D3" t="s">
        <v>33</v>
      </c>
      <c r="F3" t="s">
        <v>34</v>
      </c>
      <c r="G3" t="s">
        <v>35</v>
      </c>
    </row>
    <row r="4" spans="1:7">
      <c r="C4" t="s">
        <v>36</v>
      </c>
      <c r="D4" t="s">
        <v>37</v>
      </c>
      <c r="F4" t="s">
        <v>38</v>
      </c>
      <c r="G4" t="s">
        <v>39</v>
      </c>
    </row>
    <row r="5" spans="1:7">
      <c r="C5" t="s">
        <v>40</v>
      </c>
      <c r="D5" t="s">
        <v>41</v>
      </c>
      <c r="F5" t="s">
        <v>42</v>
      </c>
      <c r="G5" t="s">
        <v>43</v>
      </c>
    </row>
    <row r="6" spans="1:7">
      <c r="C6" t="s">
        <v>44</v>
      </c>
      <c r="D6" t="s">
        <v>45</v>
      </c>
      <c r="F6" t="s">
        <v>46</v>
      </c>
      <c r="G6" t="s">
        <v>47</v>
      </c>
    </row>
    <row r="7" spans="1:7">
      <c r="C7" t="s">
        <v>48</v>
      </c>
      <c r="D7" t="s">
        <v>49</v>
      </c>
      <c r="F7" t="s">
        <v>50</v>
      </c>
      <c r="G7" t="s">
        <v>51</v>
      </c>
    </row>
    <row r="8" spans="1:7">
      <c r="C8" t="s">
        <v>52</v>
      </c>
      <c r="D8" t="s">
        <v>53</v>
      </c>
      <c r="F8" t="s">
        <v>125</v>
      </c>
      <c r="G8" t="s">
        <v>130</v>
      </c>
    </row>
    <row r="9" spans="1:7">
      <c r="C9" t="s">
        <v>56</v>
      </c>
      <c r="D9" t="s">
        <v>57</v>
      </c>
      <c r="F9" t="s">
        <v>54</v>
      </c>
      <c r="G9" t="s">
        <v>55</v>
      </c>
    </row>
    <row r="10" spans="1:7">
      <c r="C10" t="s">
        <v>59</v>
      </c>
      <c r="D10" t="s">
        <v>60</v>
      </c>
      <c r="F10" t="s">
        <v>58</v>
      </c>
      <c r="G10" t="s">
        <v>131</v>
      </c>
    </row>
    <row r="11" spans="1:7">
      <c r="C11" t="s">
        <v>63</v>
      </c>
      <c r="D11" t="s">
        <v>64</v>
      </c>
      <c r="F11" t="s">
        <v>61</v>
      </c>
      <c r="G11" t="s">
        <v>62</v>
      </c>
    </row>
    <row r="12" spans="1:7">
      <c r="C12" t="s">
        <v>67</v>
      </c>
      <c r="D12" t="s">
        <v>68</v>
      </c>
      <c r="F12" t="s">
        <v>65</v>
      </c>
      <c r="G12" t="s">
        <v>66</v>
      </c>
    </row>
    <row r="13" spans="1:7">
      <c r="C13" t="s">
        <v>71</v>
      </c>
      <c r="D13" t="s">
        <v>72</v>
      </c>
      <c r="F13" t="s">
        <v>144</v>
      </c>
      <c r="G13" t="s">
        <v>132</v>
      </c>
    </row>
    <row r="14" spans="1:7">
      <c r="C14" t="s">
        <v>75</v>
      </c>
      <c r="D14" t="s">
        <v>76</v>
      </c>
      <c r="F14" t="s">
        <v>69</v>
      </c>
      <c r="G14" t="s">
        <v>70</v>
      </c>
    </row>
    <row r="15" spans="1:7">
      <c r="C15" t="s">
        <v>79</v>
      </c>
      <c r="D15" t="s">
        <v>80</v>
      </c>
      <c r="F15" t="s">
        <v>126</v>
      </c>
      <c r="G15" t="s">
        <v>133</v>
      </c>
    </row>
    <row r="16" spans="1:7">
      <c r="C16" t="s">
        <v>83</v>
      </c>
      <c r="D16" t="s">
        <v>84</v>
      </c>
      <c r="F16" t="s">
        <v>73</v>
      </c>
      <c r="G16" t="s">
        <v>74</v>
      </c>
    </row>
    <row r="17" spans="3:7">
      <c r="C17" t="s">
        <v>87</v>
      </c>
      <c r="D17" t="s">
        <v>88</v>
      </c>
      <c r="F17" t="s">
        <v>77</v>
      </c>
      <c r="G17" t="s">
        <v>78</v>
      </c>
    </row>
    <row r="18" spans="3:7">
      <c r="C18" t="s">
        <v>91</v>
      </c>
      <c r="D18" t="s">
        <v>92</v>
      </c>
      <c r="F18" t="s">
        <v>81</v>
      </c>
      <c r="G18" t="s">
        <v>82</v>
      </c>
    </row>
    <row r="19" spans="3:7">
      <c r="C19" t="s">
        <v>95</v>
      </c>
      <c r="D19" t="s">
        <v>96</v>
      </c>
      <c r="F19" t="s">
        <v>85</v>
      </c>
      <c r="G19" t="s">
        <v>86</v>
      </c>
    </row>
    <row r="20" spans="3:7">
      <c r="C20" t="s">
        <v>99</v>
      </c>
      <c r="D20" t="s">
        <v>100</v>
      </c>
      <c r="F20" t="s">
        <v>89</v>
      </c>
      <c r="G20" t="s">
        <v>90</v>
      </c>
    </row>
    <row r="21" spans="3:7">
      <c r="C21" t="s">
        <v>103</v>
      </c>
      <c r="D21" t="s">
        <v>104</v>
      </c>
      <c r="F21" t="s">
        <v>93</v>
      </c>
      <c r="G21" t="s">
        <v>94</v>
      </c>
    </row>
    <row r="22" spans="3:7">
      <c r="C22" t="s">
        <v>105</v>
      </c>
      <c r="D22" t="s">
        <v>106</v>
      </c>
      <c r="F22" t="s">
        <v>97</v>
      </c>
      <c r="G22" t="s">
        <v>98</v>
      </c>
    </row>
    <row r="23" spans="3:7">
      <c r="C23" t="s">
        <v>107</v>
      </c>
      <c r="D23" t="s">
        <v>108</v>
      </c>
      <c r="F23" t="s">
        <v>101</v>
      </c>
      <c r="G23" t="s">
        <v>102</v>
      </c>
    </row>
    <row r="24" spans="3:7">
      <c r="C24" t="s">
        <v>110</v>
      </c>
      <c r="D24" t="s">
        <v>111</v>
      </c>
      <c r="F24" t="s">
        <v>127</v>
      </c>
      <c r="G24" t="s">
        <v>134</v>
      </c>
    </row>
    <row r="25" spans="3:7">
      <c r="C25" t="s">
        <v>112</v>
      </c>
      <c r="D25" t="s">
        <v>113</v>
      </c>
      <c r="F25" t="s">
        <v>145</v>
      </c>
      <c r="G25" t="s">
        <v>146</v>
      </c>
    </row>
    <row r="26" spans="3:7">
      <c r="C26" t="s">
        <v>114</v>
      </c>
      <c r="D26" t="s">
        <v>115</v>
      </c>
      <c r="F26" t="s">
        <v>128</v>
      </c>
      <c r="G26" t="s">
        <v>135</v>
      </c>
    </row>
    <row r="27" spans="3:7">
      <c r="C27" t="s">
        <v>116</v>
      </c>
      <c r="D27" t="s">
        <v>117</v>
      </c>
      <c r="F27" t="s">
        <v>109</v>
      </c>
      <c r="G27" t="s">
        <v>136</v>
      </c>
    </row>
    <row r="28" spans="3:7">
      <c r="C28" t="s">
        <v>118</v>
      </c>
      <c r="D28" t="s">
        <v>119</v>
      </c>
      <c r="F28" t="s">
        <v>138</v>
      </c>
      <c r="G28" t="s">
        <v>137</v>
      </c>
    </row>
    <row r="29" spans="3:7">
      <c r="C29" t="s">
        <v>120</v>
      </c>
      <c r="D29" t="s">
        <v>121</v>
      </c>
      <c r="F29" t="s">
        <v>142</v>
      </c>
      <c r="G29" t="s">
        <v>147</v>
      </c>
    </row>
    <row r="30" spans="3:7">
      <c r="C30" t="s">
        <v>122</v>
      </c>
      <c r="D30" t="s">
        <v>123</v>
      </c>
      <c r="F30" t="s">
        <v>143</v>
      </c>
      <c r="G30" t="s">
        <v>148</v>
      </c>
    </row>
  </sheetData>
  <sortState xmlns:xlrd2="http://schemas.microsoft.com/office/spreadsheetml/2017/richdata2" ref="F1:G29">
    <sortCondition ref="F2:F29"/>
  </sortState>
  <pageMargins left="0.7" right="0.7" top="0.75" bottom="0.75" header="0.3" footer="0.3"/>
  <pageSetup paperSize="9" orientation="portrait" r:id="rId1"/>
  <headerFooter>
    <oddFooter>&amp;L&amp;"Arial,Regular"&amp;08&amp;K0000FFInternal</oddFooter>
    <evenFooter>&amp;L&amp;"Arial,Regular"&amp;08&amp;K0000FFInternal</evenFooter>
    <firstFooter>&amp;L&amp;"Arial,Regular"&amp;08&amp;K0000FFInternal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ab68110-d7b3-411c-a174-58f092b76247" origin="userSelected">
  <element uid="654c5258-265d-436c-aa7b-b785230895d3" value=""/>
</sisl>
</file>

<file path=customXml/itemProps1.xml><?xml version="1.0" encoding="utf-8"?>
<ds:datastoreItem xmlns:ds="http://schemas.openxmlformats.org/officeDocument/2006/customXml" ds:itemID="{0BD39E9F-59A4-4353-8C12-9644EAAA8C5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Kalladithodi</dc:creator>
  <cp:keywords>Internal</cp:keywords>
  <cp:lastModifiedBy>AHMED ALBRBRI</cp:lastModifiedBy>
  <cp:lastPrinted>2026-02-04T16:37:53Z</cp:lastPrinted>
  <dcterms:created xsi:type="dcterms:W3CDTF">2020-02-23T08:44:04Z</dcterms:created>
  <dcterms:modified xsi:type="dcterms:W3CDTF">2026-06-06T13:50:02Z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1c4435c2-8bff-41e9-838d-8281ea28239b</vt:lpwstr>
  </property>
  <property fmtid="{D5CDD505-2E9C-101B-9397-08002B2CF9AE}" pid="3" name="bjSaver">
    <vt:lpwstr>Pk6706GCDlV1WqmYu3DIdB2UQ4l83hKU</vt:lpwstr>
  </property>
  <property fmtid="{D5CDD505-2E9C-101B-9397-08002B2CF9AE}" pid="4" name="bjDocumentSecurityLabel">
    <vt:lpwstr>Internal</vt:lpwstr>
  </property>
  <property fmtid="{D5CDD505-2E9C-101B-9397-08002B2CF9AE}" pid="5" name="bjLeftFooterLabel-first">
    <vt:lpwstr>&amp;"Arial,Regular"&amp;08&amp;K0000FFInternal</vt:lpwstr>
  </property>
  <property fmtid="{D5CDD505-2E9C-101B-9397-08002B2CF9AE}" pid="6" name="bjLeftFooterLabel-even">
    <vt:lpwstr>&amp;"Arial,Regular"&amp;08&amp;K0000FFInternal</vt:lpwstr>
  </property>
  <property fmtid="{D5CDD505-2E9C-101B-9397-08002B2CF9AE}" pid="7" name="bjLeftFooterLabel">
    <vt:lpwstr>&amp;"Arial,Regular"&amp;08&amp;K0000FFInternal</vt:lpwstr>
  </property>
  <property fmtid="{D5CDD505-2E9C-101B-9397-08002B2CF9AE}" pid="8" name="bjDocumentLabelXML">
    <vt:lpwstr>&lt;?xml version="1.0" encoding="us-ascii"?&gt;&lt;sisl xmlns:xsd="http://www.w3.org/2001/XMLSchema" xmlns:xsi="http://www.w3.org/2001/XMLSchema-instance" sislVersion="0" policy="fab68110-d7b3-411c-a174-58f092b76247" origin="userSelected" xmlns="http://www.boldonj</vt:lpwstr>
  </property>
  <property fmtid="{D5CDD505-2E9C-101B-9397-08002B2CF9AE}" pid="9" name="bjDocumentLabelXML-0">
    <vt:lpwstr>ames.com/2008/01/sie/internal/label"&gt;&lt;element uid="654c5258-265d-436c-aa7b-b785230895d3" value="" /&gt;&lt;/sisl&gt;</vt:lpwstr>
  </property>
  <property fmtid="{D5CDD505-2E9C-101B-9397-08002B2CF9AE}" pid="10" name="bjClsUserRVM">
    <vt:lpwstr>[]</vt:lpwstr>
  </property>
</Properties>
</file>