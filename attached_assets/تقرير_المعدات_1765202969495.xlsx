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L\Desktop\"/>
    </mc:Choice>
  </mc:AlternateContent>
  <bookViews>
    <workbookView xWindow="0" yWindow="0" windowWidth="28800" windowHeight="11415"/>
  </bookViews>
  <sheets>
    <sheet name="كشف حساب_ مشاريع تحت التنفيذ لف" sheetId="1" r:id="rId1"/>
  </sheets>
  <calcPr calcId="162913"/>
</workbook>
</file>

<file path=xl/calcChain.xml><?xml version="1.0" encoding="utf-8"?>
<calcChain xmlns="http://schemas.openxmlformats.org/spreadsheetml/2006/main">
  <c r="H18" i="1" l="1"/>
  <c r="H19" i="1"/>
  <c r="H24" i="1"/>
  <c r="H36" i="1"/>
  <c r="H37" i="1"/>
  <c r="H42" i="1"/>
  <c r="G11" i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G19" i="1"/>
  <c r="G20" i="1"/>
  <c r="H20" i="1" s="1"/>
  <c r="G21" i="1"/>
  <c r="H21" i="1" s="1"/>
  <c r="G22" i="1"/>
  <c r="H22" i="1" s="1"/>
  <c r="G23" i="1"/>
  <c r="H23" i="1" s="1"/>
  <c r="G24" i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G37" i="1"/>
  <c r="G38" i="1"/>
  <c r="H38" i="1" s="1"/>
  <c r="G39" i="1"/>
  <c r="H39" i="1" s="1"/>
  <c r="G40" i="1"/>
  <c r="H40" i="1" s="1"/>
  <c r="G41" i="1"/>
  <c r="H41" i="1" s="1"/>
  <c r="G42" i="1"/>
  <c r="G43" i="1" l="1"/>
  <c r="H11" i="1"/>
  <c r="H43" i="1" s="1"/>
  <c r="F43" i="1"/>
</calcChain>
</file>

<file path=xl/sharedStrings.xml><?xml version="1.0" encoding="utf-8"?>
<sst xmlns="http://schemas.openxmlformats.org/spreadsheetml/2006/main" count="119" uniqueCount="64">
  <si>
    <t>نطاق لتقنية المعلومات وخدمات الأعمال - Powered By: 𝒮𝓊𝓁𝓉𝒶𝓃 Reports</t>
  </si>
  <si>
    <t>كشف حساب: مشاريع تحت التنفيذ لفروع الإنتاج</t>
  </si>
  <si>
    <t>الشركة</t>
  </si>
  <si>
    <t>شركة الزبد الافضل</t>
  </si>
  <si>
    <t>الفرع</t>
  </si>
  <si>
    <t>مخابز بتر بيكري (الزبد)</t>
  </si>
  <si>
    <t>المركز</t>
  </si>
  <si>
    <t>بتر بيكري - الزبد - المدينة المنورة</t>
  </si>
  <si>
    <t>تاريخ الطباعة</t>
  </si>
  <si>
    <t>08.12.2025 02:36 PM</t>
  </si>
  <si>
    <t>#</t>
  </si>
  <si>
    <t>نوع القيد</t>
  </si>
  <si>
    <t>الرقم</t>
  </si>
  <si>
    <t>التاريخ</t>
  </si>
  <si>
    <t>البيان</t>
  </si>
  <si>
    <t>قيد يومية</t>
  </si>
  <si>
    <t>9296</t>
  </si>
  <si>
    <t xml:space="preserve">LA MARZOCCO GB5-X 2GR لامارزوكو ماكينة اسبريسو - ك 1  </t>
  </si>
  <si>
    <t xml:space="preserve"> L4D-10 1GAL – حافظة حرارة معزولة لاتر متكو –  ك 1 - LefetouXUS</t>
  </si>
  <si>
    <t xml:space="preserve"> Airpot 2.5L – حافظة حرارية باستخدام الضغط 2.5 لتر – Stainless steel الكمية 2  </t>
  </si>
  <si>
    <t xml:space="preserve">MAHLKONIG OMNIA GRINDER -مطحنة - الكمية 1 </t>
  </si>
  <si>
    <t xml:space="preserve">تمبر بيرفكيس –  مسحوق مضغوط اسود - Pressed powder-black - الكمية 1  </t>
  </si>
  <si>
    <t xml:space="preserve"> JOHNY SAMOVAR AK/16 - GOLD محضرة شاي وقهوة المفلترة- الكمية 1</t>
  </si>
  <si>
    <t xml:space="preserve"> Migel Ice Maker 102KL -صانعة ثلج - الكمية 1</t>
  </si>
  <si>
    <t>9305</t>
  </si>
  <si>
    <t>ماكينة قهوة امريكية فيكتو - ك 1</t>
  </si>
  <si>
    <t>8905</t>
  </si>
  <si>
    <t>كوز تري عدد 2 +ترمس ستانلس ستيل  5لتر-زيشان عدد 4</t>
  </si>
  <si>
    <t>9306</t>
  </si>
  <si>
    <t>MAHLKONIG E 80 GRINDER - BLACK - مطحنة قهوة - الكمية 1</t>
  </si>
  <si>
    <t>9918</t>
  </si>
  <si>
    <t>شواية سلامندر كهربائية وعاء 2/3 جي ان - الكمية 1</t>
  </si>
  <si>
    <t>موقد كهربائي  4 اعين حديد زهر - الكمية 1</t>
  </si>
  <si>
    <t>قطاعة لحوم كهربائية شفرات 10 بوصات - الكمية 1</t>
  </si>
  <si>
    <t>لوح نقل رافع بيتزا - بمقبض 150 سم - الكمية 1</t>
  </si>
  <si>
    <t xml:space="preserve">فرن بيتزا من الفولاذ يعمل بالغاز - 100 سم - اسود - الكمية 1 </t>
  </si>
  <si>
    <t>صاج شواء بسطح املس 61سم - الكمية 1</t>
  </si>
  <si>
    <t>9111</t>
  </si>
  <si>
    <t>Mecnosud Spiral Mixer IM 60 kg عجانة إيطالية مكنوسود 60 كيلو  - الكمية 1 - Code :IM60D</t>
  </si>
  <si>
    <t>Mecnosud Planetary Mixer 40 Lt خلاط  إيطالي مكنوسود40 لتر - الكمية 1 - Code :MX40T</t>
  </si>
  <si>
    <t>Mecnosud Manual Dough Sheeter Bench فرادة كرواسون إيطالية عالطاولة مكنوسود 70 ×50سم  - الكمية 1 - Code :SB500-70</t>
  </si>
  <si>
    <t>Mastercool Blast Chiller 5 Trays بلاست  تشيلر  5 صواني إيطالي  - الكمية 1 -Code :ATT05</t>
  </si>
  <si>
    <t>9185</t>
  </si>
  <si>
    <t>طفريات خشب 48 حبة</t>
  </si>
  <si>
    <t>9247</t>
  </si>
  <si>
    <t>فرن جيوريك بوب سبيد ستيم الهجين -Giorik PoP Speed Steam Hybrid Oven -عدد1</t>
  </si>
  <si>
    <t>9304</t>
  </si>
  <si>
    <t xml:space="preserve"> Unox Convection Oven – 10 Trays (فرن كونفكشن 10 صواني)- الكمية 2</t>
  </si>
  <si>
    <t>2️⃣ Unox BakerLux – 10 Trays Proofer (خمّارة 10 صواني – مخمّر عجين) الكمية 2</t>
  </si>
  <si>
    <t xml:space="preserve"> Dish Washer GS 50 ECO (غسالة صحون GS50 ECO) الكمية 1</t>
  </si>
  <si>
    <t>9297</t>
  </si>
  <si>
    <t>iRhea M5 Pro - Pearl Black -آلة تحضير قهوة بالتقطير - الكمية 1- شامل خدمات الصيانة والتركيب والشحن</t>
  </si>
  <si>
    <t>Baratza Forte BG Grinder - مطحنة - الكمية 2</t>
  </si>
  <si>
    <t>9915</t>
  </si>
  <si>
    <t>CM-1500B ﺛﻼﺟﺔ ﻋﺮﺽ ﺑﺎﻧﻜﻮﻝ ﺷﻮﻛﻮﻻﺗﻪ ﻭﺣﻠﻮﻳﺎﺕ ﻣﻮﺩﻳﻞ - الكمية 2</t>
  </si>
  <si>
    <t>CM-1200B ﺛﻼﺟﺔ ﻋﺮﺽ ﺑﺎﻧﻜﻮﻝ ﺷﻮﻛﻮﻻﺗﻪ ﻭﺣﻠﻮﻳﺎﺕ ﻣﻮﺩﻳﻞ - الكمية 1</t>
  </si>
  <si>
    <t>ﺛﻼﺟﺔ ﺑﺎﻧﻜﻮﻝ 1.5ﻡ ﺇﺳﺘﻴﻞ ﻛﺎﻭﻧﺘﺮ. ﺃﺭﻓﻒ ﺇﺳﺘﻴﻞ  - الكمية 1 - YPL9132</t>
  </si>
  <si>
    <t>ﺛﻼﺟﺔ ﺑﺎﻧﻜﻮﻝ ﺑﻴﺘﺰﺍ ﺍﺳﺘﻴﻞ 1ﻡ ﻣﻮﺩﻳﻞ ESL3832- الكمية 1</t>
  </si>
  <si>
    <t>-</t>
  </si>
  <si>
    <t>الإجمالي</t>
  </si>
  <si>
    <t xml:space="preserve"> فروكتوريل عصارة ببرتقال كويماك - الكمية 1 </t>
  </si>
  <si>
    <t>تكلفة الاصل</t>
  </si>
  <si>
    <t>ضريبة الاصل</t>
  </si>
  <si>
    <t>الاجمالي شامل الضريبة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</si>
</sst>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\ &quot;ر.س.‏&quot;"/>
  </numFmts>
  <fonts count="6" x14ac:knownFonts="1"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FFFFFF"/>
      <name val="Calibri"/>
      <family val="2"/>
    </font>
    <font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215967"/>
      </patternFill>
    </fill>
    <fill>
      <patternFill patternType="solid">
        <fgColor rgb="FFF7F7F7"/>
      </patternFill>
    </fill>
    <fill>
      <patternFill patternType="solid">
        <fgColor rgb="FF538DD5"/>
      </patternFill>
    </fill>
    <fill>
      <patternFill patternType="solid">
        <fgColor rgb="FF538DD5"/>
        <bgColor indexed="64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center" vertical="center"/>
    </xf>
    <xf numFmtId="0" fontId="4" fillId="5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22" fontId="2" fillId="0" borderId="1" xfId="0" applyNumberFormat="1" applyFont="1" applyFill="1" applyBorder="1" applyAlignment="1" applyProtection="1">
      <alignment horizontal="center" vertical="center"/>
    </xf>
    <xf numFmtId="4" fontId="4" fillId="6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165" fontId="4" fillId="5" borderId="1" xfId="0" applyNumberFormat="1" applyFont="1" applyFill="1" applyBorder="1" applyAlignment="1" applyProtection="1">
      <alignment horizontal="center" vertical="center"/>
    </xf>
    <xf numFmtId="165" fontId="5" fillId="0" borderId="0" xfId="0" applyNumberFormat="1" applyFont="1" applyFill="1" applyAlignment="1" applyProtection="1">
      <alignment horizontal="center" vertical="center"/>
    </xf>
    <xf numFmtId="165" fontId="2" fillId="0" borderId="0" xfId="0" applyNumberFormat="1" applyFont="1" applyFill="1" applyAlignment="1" applyProtection="1">
      <alignment horizontal="right" vertical="center"/>
    </xf>
    <xf numFmtId="165" fontId="2" fillId="0" borderId="1" xfId="0" applyNumberFormat="1" applyFont="1" applyFill="1" applyBorder="1" applyAlignment="1" applyProtection="1">
      <alignment horizontal="right" vertical="center"/>
    </xf>
    <xf numFmtId="165" fontId="5" fillId="0" borderId="3" xfId="0" applyNumberFormat="1" applyFont="1" applyFill="1" applyBorder="1" applyAlignment="1" applyProtection="1">
      <alignment horizontal="right" vertical="center"/>
    </xf>
    <xf numFmtId="165" fontId="5" fillId="0" borderId="2" xfId="0" applyNumberFormat="1" applyFont="1" applyFill="1" applyBorder="1" applyAlignment="1" applyProtection="1">
      <alignment horizontal="right" vertical="center"/>
    </xf>
    <xf numFmtId="165" fontId="5" fillId="0" borderId="4" xfId="0" applyNumberFormat="1" applyFont="1" applyFill="1" applyBorder="1" applyAlignment="1" applyProtection="1">
      <alignment horizontal="right" vertical="center"/>
    </xf>
    <xf numFmtId="165" fontId="4" fillId="6" borderId="1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165" formatCode="#,##0.00\ &quot;ر.س.‏&quot;"/>
      <fill>
        <patternFill patternType="solid">
          <fgColor indexed="64"/>
          <bgColor rgb="FF538DD5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165" formatCode="#,##0.00\ &quot;ر.س.‏&quot;"/>
      <fill>
        <patternFill patternType="solid">
          <fgColor indexed="64"/>
          <bgColor rgb="FF538DD5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165" formatCode="#,##0.00\ &quot;ر.س.‏&quot;"/>
      <fill>
        <patternFill patternType="solid">
          <fgColor indexed="64"/>
          <bgColor rgb="FF538DD5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numFmt numFmtId="165" formatCode="#,##0.00\ &quot;ر.س.‏&quot;"/>
      <alignment horizontal="right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numFmt numFmtId="165" formatCode="#,##0.00\ &quot;ر.س.‏&quot;"/>
      <alignment horizontal="right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numFmt numFmtId="165" formatCode="#,##0.00\ &quot;ر.س.‏&quot;"/>
      <alignment horizontal="right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numFmt numFmtId="164" formatCode="m/d/yyyy\ h:mm"/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0:H43" totalsRowCount="1" headerRowDxfId="9" dataDxfId="18" totalsRowDxfId="17">
  <autoFilter ref="A10:H42"/>
  <tableColumns count="8">
    <tableColumn id="1" name="#" totalsRowLabel="-" dataDxfId="16" totalsRowDxfId="8"/>
    <tableColumn id="2" name="نوع القيد" totalsRowLabel="الإجمالي" dataDxfId="0" totalsRowDxfId="1"/>
    <tableColumn id="3" name="الرقم" totalsRowLabel="-" dataDxfId="15" totalsRowDxfId="7"/>
    <tableColumn id="4" name="التاريخ" totalsRowLabel="-" dataDxfId="14" totalsRowDxfId="6"/>
    <tableColumn id="5" name="البيان" totalsRowLabel="-" dataDxfId="13" totalsRowDxfId="5"/>
    <tableColumn id="6" name="تكلفة الاصل" totalsRowFunction="sum" dataDxfId="12" totalsRowDxfId="4"/>
    <tableColumn id="7" name="ضريبة الاصل" totalsRowFunction="sum" dataDxfId="11" totalsRowDxfId="3">
      <calculatedColumnFormula>Table1[[#This Row],[تكلفة الاصل]]*15%</calculatedColumnFormula>
    </tableColumn>
    <tableColumn id="8" name="الاجمالي شامل الضريبة" totalsRowFunction="sum" dataDxfId="10" totalsRowDxfId="2">
      <calculatedColumnFormula>Table1[[#This Row],[تكلفة الاصل]]+Table1[[#This Row],[ضريبة الاصل]]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rightToLeft="1" tabSelected="1" view="pageBreakPreview" zoomScale="60" zoomScaleNormal="100" workbookViewId="0">
      <selection activeCell="B2" sqref="B1:B1048576"/>
    </sheetView>
  </sheetViews>
  <sheetFormatPr defaultRowHeight="24.75" customHeight="1" x14ac:dyDescent="0.25"/>
  <cols>
    <col min="1" max="1" width="4.85546875" style="1" bestFit="1" customWidth="1"/>
    <col min="2" max="2" width="12" style="1" bestFit="1" customWidth="1"/>
    <col min="3" max="3" width="8.28515625" style="1" bestFit="1" customWidth="1"/>
    <col min="4" max="4" width="22.140625" style="1" bestFit="1" customWidth="1"/>
    <col min="5" max="5" width="127.85546875" style="1" bestFit="1" customWidth="1"/>
    <col min="6" max="6" width="20.140625" style="11" bestFit="1" customWidth="1"/>
    <col min="7" max="7" width="18.7109375" style="11" bestFit="1" customWidth="1"/>
    <col min="8" max="8" width="27" style="11" bestFit="1" customWidth="1"/>
    <col min="9" max="16384" width="9.140625" style="1"/>
  </cols>
  <sheetData>
    <row r="1" spans="1:8" ht="24.75" customHeight="1" x14ac:dyDescent="0.25">
      <c r="A1" s="7" t="s">
        <v>0</v>
      </c>
      <c r="B1" s="7"/>
      <c r="C1" s="7"/>
      <c r="D1" s="7"/>
      <c r="E1" s="7"/>
      <c r="F1" s="7"/>
    </row>
    <row r="3" spans="1:8" ht="24.75" customHeight="1" x14ac:dyDescent="0.25">
      <c r="A3" s="8" t="s">
        <v>1</v>
      </c>
      <c r="B3" s="8"/>
      <c r="C3" s="8"/>
      <c r="D3" s="8"/>
      <c r="E3" s="8"/>
      <c r="F3" s="8"/>
    </row>
    <row r="5" spans="1:8" ht="24.75" customHeight="1" x14ac:dyDescent="0.25">
      <c r="A5" s="6" t="s">
        <v>2</v>
      </c>
      <c r="B5" s="6"/>
      <c r="C5" s="6"/>
      <c r="D5" s="6" t="s">
        <v>3</v>
      </c>
      <c r="E5" s="6"/>
      <c r="F5" s="6"/>
    </row>
    <row r="6" spans="1:8" ht="24.75" customHeight="1" x14ac:dyDescent="0.25">
      <c r="A6" s="6" t="s">
        <v>4</v>
      </c>
      <c r="B6" s="6"/>
      <c r="C6" s="6"/>
      <c r="D6" s="6" t="s">
        <v>5</v>
      </c>
      <c r="E6" s="6"/>
      <c r="F6" s="6"/>
    </row>
    <row r="7" spans="1:8" ht="24.75" customHeight="1" x14ac:dyDescent="0.25">
      <c r="A7" s="6" t="s">
        <v>6</v>
      </c>
      <c r="B7" s="6"/>
      <c r="C7" s="6"/>
      <c r="D7" s="6" t="s">
        <v>7</v>
      </c>
      <c r="E7" s="6"/>
      <c r="F7" s="6"/>
    </row>
    <row r="8" spans="1:8" ht="24.75" customHeight="1" x14ac:dyDescent="0.25">
      <c r="A8" s="6" t="s">
        <v>8</v>
      </c>
      <c r="B8" s="6"/>
      <c r="C8" s="6"/>
      <c r="D8" s="6" t="s">
        <v>9</v>
      </c>
      <c r="E8" s="6"/>
      <c r="F8" s="6"/>
    </row>
    <row r="10" spans="1:8" ht="24.75" customHeight="1" x14ac:dyDescent="0.25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9" t="s">
        <v>61</v>
      </c>
      <c r="G10" s="10" t="s">
        <v>62</v>
      </c>
      <c r="H10" s="10" t="s">
        <v>63</v>
      </c>
    </row>
    <row r="11" spans="1:8" ht="24.75" customHeight="1" x14ac:dyDescent="0.25">
      <c r="A11" s="3">
        <v>1</v>
      </c>
      <c r="B11" s="3" t="s">
        <v>15</v>
      </c>
      <c r="C11" s="3" t="s">
        <v>16</v>
      </c>
      <c r="D11" s="4">
        <v>45950.454166666699</v>
      </c>
      <c r="E11" s="3" t="s">
        <v>17</v>
      </c>
      <c r="F11" s="12">
        <v>48695.65</v>
      </c>
      <c r="G11" s="13">
        <f>Table1[[#This Row],[تكلفة الاصل]]*15%</f>
        <v>7304.3474999999999</v>
      </c>
      <c r="H11" s="13">
        <f>Table1[[#This Row],[تكلفة الاصل]]+Table1[[#This Row],[ضريبة الاصل]]</f>
        <v>55999.997499999998</v>
      </c>
    </row>
    <row r="12" spans="1:8" ht="24.75" customHeight="1" x14ac:dyDescent="0.25">
      <c r="A12" s="3">
        <v>2</v>
      </c>
      <c r="B12" s="3" t="s">
        <v>15</v>
      </c>
      <c r="C12" s="3" t="s">
        <v>16</v>
      </c>
      <c r="D12" s="4">
        <v>45950.454166666699</v>
      </c>
      <c r="E12" s="3" t="s">
        <v>18</v>
      </c>
      <c r="F12" s="12">
        <v>1800</v>
      </c>
      <c r="G12" s="14">
        <f>Table1[[#This Row],[تكلفة الاصل]]*15%</f>
        <v>270</v>
      </c>
      <c r="H12" s="14">
        <f>Table1[[#This Row],[تكلفة الاصل]]+Table1[[#This Row],[ضريبة الاصل]]</f>
        <v>2070</v>
      </c>
    </row>
    <row r="13" spans="1:8" ht="24.75" customHeight="1" x14ac:dyDescent="0.25">
      <c r="A13" s="3">
        <v>3</v>
      </c>
      <c r="B13" s="3" t="s">
        <v>15</v>
      </c>
      <c r="C13" s="3" t="s">
        <v>16</v>
      </c>
      <c r="D13" s="4">
        <v>45950.454166666699</v>
      </c>
      <c r="E13" s="3" t="s">
        <v>19</v>
      </c>
      <c r="F13" s="12">
        <v>920</v>
      </c>
      <c r="G13" s="14">
        <f>Table1[[#This Row],[تكلفة الاصل]]*15%</f>
        <v>138</v>
      </c>
      <c r="H13" s="14">
        <f>Table1[[#This Row],[تكلفة الاصل]]+Table1[[#This Row],[ضريبة الاصل]]</f>
        <v>1058</v>
      </c>
    </row>
    <row r="14" spans="1:8" ht="24.75" customHeight="1" x14ac:dyDescent="0.25">
      <c r="A14" s="3">
        <v>4</v>
      </c>
      <c r="B14" s="3" t="s">
        <v>15</v>
      </c>
      <c r="C14" s="3" t="s">
        <v>16</v>
      </c>
      <c r="D14" s="4">
        <v>45950.454166666699</v>
      </c>
      <c r="E14" s="3" t="s">
        <v>20</v>
      </c>
      <c r="F14" s="12">
        <v>10000</v>
      </c>
      <c r="G14" s="14">
        <f>Table1[[#This Row],[تكلفة الاصل]]*15%</f>
        <v>1500</v>
      </c>
      <c r="H14" s="14">
        <f>Table1[[#This Row],[تكلفة الاصل]]+Table1[[#This Row],[ضريبة الاصل]]</f>
        <v>11500</v>
      </c>
    </row>
    <row r="15" spans="1:8" ht="24.75" customHeight="1" x14ac:dyDescent="0.25">
      <c r="A15" s="3">
        <v>5</v>
      </c>
      <c r="B15" s="3" t="s">
        <v>15</v>
      </c>
      <c r="C15" s="3" t="s">
        <v>16</v>
      </c>
      <c r="D15" s="4">
        <v>45950.454166666699</v>
      </c>
      <c r="E15" s="3" t="s">
        <v>21</v>
      </c>
      <c r="F15" s="12">
        <v>869.57</v>
      </c>
      <c r="G15" s="14">
        <f>Table1[[#This Row],[تكلفة الاصل]]*15%</f>
        <v>130.43549999999999</v>
      </c>
      <c r="H15" s="14">
        <f>Table1[[#This Row],[تكلفة الاصل]]+Table1[[#This Row],[ضريبة الاصل]]</f>
        <v>1000.0055</v>
      </c>
    </row>
    <row r="16" spans="1:8" ht="24.75" customHeight="1" x14ac:dyDescent="0.25">
      <c r="A16" s="3">
        <v>6</v>
      </c>
      <c r="B16" s="3" t="s">
        <v>15</v>
      </c>
      <c r="C16" s="3" t="s">
        <v>16</v>
      </c>
      <c r="D16" s="4">
        <v>45950.454166666699</v>
      </c>
      <c r="E16" s="3" t="s">
        <v>22</v>
      </c>
      <c r="F16" s="12">
        <v>1600</v>
      </c>
      <c r="G16" s="14">
        <f>Table1[[#This Row],[تكلفة الاصل]]*15%</f>
        <v>240</v>
      </c>
      <c r="H16" s="14">
        <f>Table1[[#This Row],[تكلفة الاصل]]+Table1[[#This Row],[ضريبة الاصل]]</f>
        <v>1840</v>
      </c>
    </row>
    <row r="17" spans="1:8" ht="24.75" customHeight="1" x14ac:dyDescent="0.25">
      <c r="A17" s="3">
        <v>7</v>
      </c>
      <c r="B17" s="3" t="s">
        <v>15</v>
      </c>
      <c r="C17" s="3" t="s">
        <v>16</v>
      </c>
      <c r="D17" s="4">
        <v>45950.454166666699</v>
      </c>
      <c r="E17" s="3" t="s">
        <v>60</v>
      </c>
      <c r="F17" s="12">
        <v>5652.17</v>
      </c>
      <c r="G17" s="14">
        <f>Table1[[#This Row],[تكلفة الاصل]]*15%</f>
        <v>847.82550000000003</v>
      </c>
      <c r="H17" s="14">
        <f>Table1[[#This Row],[تكلفة الاصل]]+Table1[[#This Row],[ضريبة الاصل]]</f>
        <v>6499.9955</v>
      </c>
    </row>
    <row r="18" spans="1:8" ht="24.75" customHeight="1" x14ac:dyDescent="0.25">
      <c r="A18" s="3">
        <v>8</v>
      </c>
      <c r="B18" s="3" t="s">
        <v>15</v>
      </c>
      <c r="C18" s="3" t="s">
        <v>16</v>
      </c>
      <c r="D18" s="4">
        <v>45950.454166666699</v>
      </c>
      <c r="E18" s="3" t="s">
        <v>23</v>
      </c>
      <c r="F18" s="12">
        <v>7391.3</v>
      </c>
      <c r="G18" s="14">
        <f>Table1[[#This Row],[تكلفة الاصل]]*15%</f>
        <v>1108.6949999999999</v>
      </c>
      <c r="H18" s="14">
        <f>Table1[[#This Row],[تكلفة الاصل]]+Table1[[#This Row],[ضريبة الاصل]]</f>
        <v>8499.9950000000008</v>
      </c>
    </row>
    <row r="19" spans="1:8" ht="24.75" customHeight="1" x14ac:dyDescent="0.25">
      <c r="A19" s="3">
        <v>9</v>
      </c>
      <c r="B19" s="3" t="s">
        <v>15</v>
      </c>
      <c r="C19" s="3" t="s">
        <v>24</v>
      </c>
      <c r="D19" s="4">
        <v>45952.582638888904</v>
      </c>
      <c r="E19" s="3" t="s">
        <v>25</v>
      </c>
      <c r="F19" s="12">
        <v>9539.1299999999992</v>
      </c>
      <c r="G19" s="14">
        <f>Table1[[#This Row],[تكلفة الاصل]]*15%</f>
        <v>1430.8694999999998</v>
      </c>
      <c r="H19" s="14">
        <f>Table1[[#This Row],[تكلفة الاصل]]+Table1[[#This Row],[ضريبة الاصل]]</f>
        <v>10969.999499999998</v>
      </c>
    </row>
    <row r="20" spans="1:8" ht="24.75" customHeight="1" x14ac:dyDescent="0.25">
      <c r="A20" s="3">
        <v>10</v>
      </c>
      <c r="B20" s="3" t="s">
        <v>15</v>
      </c>
      <c r="C20" s="3" t="s">
        <v>26</v>
      </c>
      <c r="D20" s="4">
        <v>45963.602083333302</v>
      </c>
      <c r="E20" s="3" t="s">
        <v>27</v>
      </c>
      <c r="F20" s="12">
        <v>30000</v>
      </c>
      <c r="G20" s="14">
        <f>Table1[[#This Row],[تكلفة الاصل]]*15%</f>
        <v>4500</v>
      </c>
      <c r="H20" s="14">
        <f>Table1[[#This Row],[تكلفة الاصل]]+Table1[[#This Row],[ضريبة الاصل]]</f>
        <v>34500</v>
      </c>
    </row>
    <row r="21" spans="1:8" ht="24.75" customHeight="1" x14ac:dyDescent="0.25">
      <c r="A21" s="3">
        <v>11</v>
      </c>
      <c r="B21" s="3" t="s">
        <v>15</v>
      </c>
      <c r="C21" s="3" t="s">
        <v>28</v>
      </c>
      <c r="D21" s="4">
        <v>45966.587500000001</v>
      </c>
      <c r="E21" s="3" t="s">
        <v>29</v>
      </c>
      <c r="F21" s="12">
        <v>10450</v>
      </c>
      <c r="G21" s="14">
        <f>Table1[[#This Row],[تكلفة الاصل]]*15%</f>
        <v>1567.5</v>
      </c>
      <c r="H21" s="14">
        <f>Table1[[#This Row],[تكلفة الاصل]]+Table1[[#This Row],[ضريبة الاصل]]</f>
        <v>12017.5</v>
      </c>
    </row>
    <row r="22" spans="1:8" ht="24.75" customHeight="1" x14ac:dyDescent="0.25">
      <c r="A22" s="3">
        <v>12</v>
      </c>
      <c r="B22" s="3" t="s">
        <v>15</v>
      </c>
      <c r="C22" s="3" t="s">
        <v>30</v>
      </c>
      <c r="D22" s="4">
        <v>45967.442361111098</v>
      </c>
      <c r="E22" s="3" t="s">
        <v>31</v>
      </c>
      <c r="F22" s="12">
        <v>1906.89</v>
      </c>
      <c r="G22" s="14">
        <f>Table1[[#This Row],[تكلفة الاصل]]*15%</f>
        <v>286.0335</v>
      </c>
      <c r="H22" s="14">
        <f>Table1[[#This Row],[تكلفة الاصل]]+Table1[[#This Row],[ضريبة الاصل]]</f>
        <v>2192.9234999999999</v>
      </c>
    </row>
    <row r="23" spans="1:8" ht="24.75" customHeight="1" x14ac:dyDescent="0.25">
      <c r="A23" s="3">
        <v>13</v>
      </c>
      <c r="B23" s="3" t="s">
        <v>15</v>
      </c>
      <c r="C23" s="3" t="s">
        <v>30</v>
      </c>
      <c r="D23" s="4">
        <v>45967.442361111098</v>
      </c>
      <c r="E23" s="3" t="s">
        <v>32</v>
      </c>
      <c r="F23" s="12">
        <v>3137.62</v>
      </c>
      <c r="G23" s="14">
        <f>Table1[[#This Row],[تكلفة الاصل]]*15%</f>
        <v>470.64299999999997</v>
      </c>
      <c r="H23" s="14">
        <f>Table1[[#This Row],[تكلفة الاصل]]+Table1[[#This Row],[ضريبة الاصل]]</f>
        <v>3608.2629999999999</v>
      </c>
    </row>
    <row r="24" spans="1:8" ht="24.75" customHeight="1" x14ac:dyDescent="0.25">
      <c r="A24" s="3">
        <v>14</v>
      </c>
      <c r="B24" s="3" t="s">
        <v>15</v>
      </c>
      <c r="C24" s="3" t="s">
        <v>30</v>
      </c>
      <c r="D24" s="4">
        <v>45967.442361111098</v>
      </c>
      <c r="E24" s="3" t="s">
        <v>33</v>
      </c>
      <c r="F24" s="12">
        <v>1430.17</v>
      </c>
      <c r="G24" s="14">
        <f>Table1[[#This Row],[تكلفة الاصل]]*15%</f>
        <v>214.52549999999999</v>
      </c>
      <c r="H24" s="14">
        <f>Table1[[#This Row],[تكلفة الاصل]]+Table1[[#This Row],[ضريبة الاصل]]</f>
        <v>1644.6955</v>
      </c>
    </row>
    <row r="25" spans="1:8" ht="24.75" customHeight="1" x14ac:dyDescent="0.25">
      <c r="A25" s="3">
        <v>15</v>
      </c>
      <c r="B25" s="3" t="s">
        <v>15</v>
      </c>
      <c r="C25" s="3" t="s">
        <v>30</v>
      </c>
      <c r="D25" s="4">
        <v>45967.442361111098</v>
      </c>
      <c r="E25" s="3" t="s">
        <v>34</v>
      </c>
      <c r="F25" s="12">
        <v>130.43</v>
      </c>
      <c r="G25" s="14">
        <f>Table1[[#This Row],[تكلفة الاصل]]*15%</f>
        <v>19.564499999999999</v>
      </c>
      <c r="H25" s="14">
        <f>Table1[[#This Row],[تكلفة الاصل]]+Table1[[#This Row],[ضريبة الاصل]]</f>
        <v>149.99450000000002</v>
      </c>
    </row>
    <row r="26" spans="1:8" ht="24.75" customHeight="1" x14ac:dyDescent="0.25">
      <c r="A26" s="3">
        <v>16</v>
      </c>
      <c r="B26" s="3" t="s">
        <v>15</v>
      </c>
      <c r="C26" s="3" t="s">
        <v>30</v>
      </c>
      <c r="D26" s="4">
        <v>45967.442361111098</v>
      </c>
      <c r="E26" s="3" t="s">
        <v>35</v>
      </c>
      <c r="F26" s="12">
        <v>17136.02</v>
      </c>
      <c r="G26" s="14">
        <f>Table1[[#This Row],[تكلفة الاصل]]*15%</f>
        <v>2570.4029999999998</v>
      </c>
      <c r="H26" s="14">
        <f>Table1[[#This Row],[تكلفة الاصل]]+Table1[[#This Row],[ضريبة الاصل]]</f>
        <v>19706.422999999999</v>
      </c>
    </row>
    <row r="27" spans="1:8" ht="24.75" customHeight="1" x14ac:dyDescent="0.25">
      <c r="A27" s="3">
        <v>17</v>
      </c>
      <c r="B27" s="3" t="s">
        <v>15</v>
      </c>
      <c r="C27" s="3" t="s">
        <v>30</v>
      </c>
      <c r="D27" s="4">
        <v>45967.442361111098</v>
      </c>
      <c r="E27" s="3" t="s">
        <v>36</v>
      </c>
      <c r="F27" s="12">
        <v>3029.4</v>
      </c>
      <c r="G27" s="14">
        <f>Table1[[#This Row],[تكلفة الاصل]]*15%</f>
        <v>454.41</v>
      </c>
      <c r="H27" s="14">
        <f>Table1[[#This Row],[تكلفة الاصل]]+Table1[[#This Row],[ضريبة الاصل]]</f>
        <v>3483.81</v>
      </c>
    </row>
    <row r="28" spans="1:8" ht="24.75" customHeight="1" x14ac:dyDescent="0.25">
      <c r="A28" s="3">
        <v>18</v>
      </c>
      <c r="B28" s="3" t="s">
        <v>15</v>
      </c>
      <c r="C28" s="3" t="s">
        <v>37</v>
      </c>
      <c r="D28" s="4">
        <v>45970.488194444399</v>
      </c>
      <c r="E28" s="3" t="s">
        <v>38</v>
      </c>
      <c r="F28" s="12">
        <v>16000</v>
      </c>
      <c r="G28" s="14">
        <f>Table1[[#This Row],[تكلفة الاصل]]*15%</f>
        <v>2400</v>
      </c>
      <c r="H28" s="14">
        <f>Table1[[#This Row],[تكلفة الاصل]]+Table1[[#This Row],[ضريبة الاصل]]</f>
        <v>18400</v>
      </c>
    </row>
    <row r="29" spans="1:8" ht="24.75" customHeight="1" x14ac:dyDescent="0.25">
      <c r="A29" s="3">
        <v>19</v>
      </c>
      <c r="B29" s="3" t="s">
        <v>15</v>
      </c>
      <c r="C29" s="3" t="s">
        <v>37</v>
      </c>
      <c r="D29" s="4">
        <v>45970.488194444399</v>
      </c>
      <c r="E29" s="3" t="s">
        <v>39</v>
      </c>
      <c r="F29" s="12">
        <v>19000</v>
      </c>
      <c r="G29" s="14">
        <f>Table1[[#This Row],[تكلفة الاصل]]*15%</f>
        <v>2850</v>
      </c>
      <c r="H29" s="14">
        <f>Table1[[#This Row],[تكلفة الاصل]]+Table1[[#This Row],[ضريبة الاصل]]</f>
        <v>21850</v>
      </c>
    </row>
    <row r="30" spans="1:8" ht="24.75" customHeight="1" x14ac:dyDescent="0.25">
      <c r="A30" s="3">
        <v>20</v>
      </c>
      <c r="B30" s="3" t="s">
        <v>15</v>
      </c>
      <c r="C30" s="3" t="s">
        <v>37</v>
      </c>
      <c r="D30" s="4">
        <v>45970.488194444399</v>
      </c>
      <c r="E30" s="3" t="s">
        <v>40</v>
      </c>
      <c r="F30" s="12">
        <v>13914</v>
      </c>
      <c r="G30" s="14">
        <f>Table1[[#This Row],[تكلفة الاصل]]*15%</f>
        <v>2087.1</v>
      </c>
      <c r="H30" s="14">
        <f>Table1[[#This Row],[تكلفة الاصل]]+Table1[[#This Row],[ضريبة الاصل]]</f>
        <v>16001.1</v>
      </c>
    </row>
    <row r="31" spans="1:8" ht="24.75" customHeight="1" x14ac:dyDescent="0.25">
      <c r="A31" s="3">
        <v>21</v>
      </c>
      <c r="B31" s="3" t="s">
        <v>15</v>
      </c>
      <c r="C31" s="3" t="s">
        <v>37</v>
      </c>
      <c r="D31" s="4">
        <v>45970.488194444399</v>
      </c>
      <c r="E31" s="3" t="s">
        <v>41</v>
      </c>
      <c r="F31" s="12">
        <v>12000</v>
      </c>
      <c r="G31" s="14">
        <f>Table1[[#This Row],[تكلفة الاصل]]*15%</f>
        <v>1800</v>
      </c>
      <c r="H31" s="14">
        <f>Table1[[#This Row],[تكلفة الاصل]]+Table1[[#This Row],[ضريبة الاصل]]</f>
        <v>13800</v>
      </c>
    </row>
    <row r="32" spans="1:8" ht="24.75" customHeight="1" x14ac:dyDescent="0.25">
      <c r="A32" s="3">
        <v>22</v>
      </c>
      <c r="B32" s="3" t="s">
        <v>15</v>
      </c>
      <c r="C32" s="3" t="s">
        <v>42</v>
      </c>
      <c r="D32" s="4">
        <v>45973.479861111096</v>
      </c>
      <c r="E32" s="3" t="s">
        <v>43</v>
      </c>
      <c r="F32" s="12">
        <v>3456</v>
      </c>
      <c r="G32" s="14">
        <f>Table1[[#This Row],[تكلفة الاصل]]*15%</f>
        <v>518.4</v>
      </c>
      <c r="H32" s="14">
        <f>Table1[[#This Row],[تكلفة الاصل]]+Table1[[#This Row],[ضريبة الاصل]]</f>
        <v>3974.4</v>
      </c>
    </row>
    <row r="33" spans="1:8" ht="24.75" customHeight="1" x14ac:dyDescent="0.25">
      <c r="A33" s="3">
        <v>23</v>
      </c>
      <c r="B33" s="3" t="s">
        <v>15</v>
      </c>
      <c r="C33" s="3" t="s">
        <v>44</v>
      </c>
      <c r="D33" s="4">
        <v>45976.563888888901</v>
      </c>
      <c r="E33" s="3" t="s">
        <v>45</v>
      </c>
      <c r="F33" s="12">
        <v>11000</v>
      </c>
      <c r="G33" s="14">
        <f>Table1[[#This Row],[تكلفة الاصل]]*15%</f>
        <v>1650</v>
      </c>
      <c r="H33" s="14">
        <f>Table1[[#This Row],[تكلفة الاصل]]+Table1[[#This Row],[ضريبة الاصل]]</f>
        <v>12650</v>
      </c>
    </row>
    <row r="34" spans="1:8" ht="24.75" customHeight="1" x14ac:dyDescent="0.25">
      <c r="A34" s="3">
        <v>24</v>
      </c>
      <c r="B34" s="3" t="s">
        <v>15</v>
      </c>
      <c r="C34" s="3" t="s">
        <v>46</v>
      </c>
      <c r="D34" s="4">
        <v>45976.577083333301</v>
      </c>
      <c r="E34" s="3" t="s">
        <v>47</v>
      </c>
      <c r="F34" s="12">
        <v>31600</v>
      </c>
      <c r="G34" s="14">
        <f>Table1[[#This Row],[تكلفة الاصل]]*15%</f>
        <v>4740</v>
      </c>
      <c r="H34" s="14">
        <f>Table1[[#This Row],[تكلفة الاصل]]+Table1[[#This Row],[ضريبة الاصل]]</f>
        <v>36340</v>
      </c>
    </row>
    <row r="35" spans="1:8" ht="24.75" customHeight="1" x14ac:dyDescent="0.25">
      <c r="A35" s="3">
        <v>25</v>
      </c>
      <c r="B35" s="3" t="s">
        <v>15</v>
      </c>
      <c r="C35" s="3" t="s">
        <v>46</v>
      </c>
      <c r="D35" s="4">
        <v>45976.577083333301</v>
      </c>
      <c r="E35" s="3" t="s">
        <v>48</v>
      </c>
      <c r="F35" s="12">
        <v>11000</v>
      </c>
      <c r="G35" s="14">
        <f>Table1[[#This Row],[تكلفة الاصل]]*15%</f>
        <v>1650</v>
      </c>
      <c r="H35" s="14">
        <f>Table1[[#This Row],[تكلفة الاصل]]+Table1[[#This Row],[ضريبة الاصل]]</f>
        <v>12650</v>
      </c>
    </row>
    <row r="36" spans="1:8" ht="24.75" customHeight="1" x14ac:dyDescent="0.25">
      <c r="A36" s="3">
        <v>26</v>
      </c>
      <c r="B36" s="3" t="s">
        <v>15</v>
      </c>
      <c r="C36" s="3" t="s">
        <v>46</v>
      </c>
      <c r="D36" s="4">
        <v>45976.577083333301</v>
      </c>
      <c r="E36" s="3" t="s">
        <v>49</v>
      </c>
      <c r="F36" s="12">
        <v>7000</v>
      </c>
      <c r="G36" s="14">
        <f>Table1[[#This Row],[تكلفة الاصل]]*15%</f>
        <v>1050</v>
      </c>
      <c r="H36" s="14">
        <f>Table1[[#This Row],[تكلفة الاصل]]+Table1[[#This Row],[ضريبة الاصل]]</f>
        <v>8050</v>
      </c>
    </row>
    <row r="37" spans="1:8" ht="24.75" customHeight="1" x14ac:dyDescent="0.25">
      <c r="A37" s="3">
        <v>27</v>
      </c>
      <c r="B37" s="3" t="s">
        <v>15</v>
      </c>
      <c r="C37" s="3" t="s">
        <v>50</v>
      </c>
      <c r="D37" s="4">
        <v>45977.467361111099</v>
      </c>
      <c r="E37" s="3" t="s">
        <v>51</v>
      </c>
      <c r="F37" s="12">
        <v>62640</v>
      </c>
      <c r="G37" s="14">
        <f>Table1[[#This Row],[تكلفة الاصل]]*15%</f>
        <v>9396</v>
      </c>
      <c r="H37" s="14">
        <f>Table1[[#This Row],[تكلفة الاصل]]+Table1[[#This Row],[ضريبة الاصل]]</f>
        <v>72036</v>
      </c>
    </row>
    <row r="38" spans="1:8" ht="24.75" customHeight="1" x14ac:dyDescent="0.25">
      <c r="A38" s="3">
        <v>28</v>
      </c>
      <c r="B38" s="3" t="s">
        <v>15</v>
      </c>
      <c r="C38" s="3" t="s">
        <v>50</v>
      </c>
      <c r="D38" s="4">
        <v>45977.467361111099</v>
      </c>
      <c r="E38" s="3" t="s">
        <v>52</v>
      </c>
      <c r="F38" s="12">
        <v>7800</v>
      </c>
      <c r="G38" s="14">
        <f>Table1[[#This Row],[تكلفة الاصل]]*15%</f>
        <v>1170</v>
      </c>
      <c r="H38" s="14">
        <f>Table1[[#This Row],[تكلفة الاصل]]+Table1[[#This Row],[ضريبة الاصل]]</f>
        <v>8970</v>
      </c>
    </row>
    <row r="39" spans="1:8" ht="24.75" customHeight="1" x14ac:dyDescent="0.25">
      <c r="A39" s="3">
        <v>29</v>
      </c>
      <c r="B39" s="3" t="s">
        <v>15</v>
      </c>
      <c r="C39" s="3" t="s">
        <v>53</v>
      </c>
      <c r="D39" s="4">
        <v>45983.412499999999</v>
      </c>
      <c r="E39" s="3" t="s">
        <v>54</v>
      </c>
      <c r="F39" s="12">
        <v>16500</v>
      </c>
      <c r="G39" s="14">
        <f>Table1[[#This Row],[تكلفة الاصل]]*15%</f>
        <v>2475</v>
      </c>
      <c r="H39" s="14">
        <f>Table1[[#This Row],[تكلفة الاصل]]+Table1[[#This Row],[ضريبة الاصل]]</f>
        <v>18975</v>
      </c>
    </row>
    <row r="40" spans="1:8" ht="24.75" customHeight="1" x14ac:dyDescent="0.25">
      <c r="A40" s="3">
        <v>30</v>
      </c>
      <c r="B40" s="3" t="s">
        <v>15</v>
      </c>
      <c r="C40" s="3" t="s">
        <v>53</v>
      </c>
      <c r="D40" s="4">
        <v>45983.412499999999</v>
      </c>
      <c r="E40" s="3" t="s">
        <v>55</v>
      </c>
      <c r="F40" s="12">
        <v>7400</v>
      </c>
      <c r="G40" s="14">
        <f>Table1[[#This Row],[تكلفة الاصل]]*15%</f>
        <v>1110</v>
      </c>
      <c r="H40" s="14">
        <f>Table1[[#This Row],[تكلفة الاصل]]+Table1[[#This Row],[ضريبة الاصل]]</f>
        <v>8510</v>
      </c>
    </row>
    <row r="41" spans="1:8" ht="24.75" customHeight="1" x14ac:dyDescent="0.25">
      <c r="A41" s="3">
        <v>31</v>
      </c>
      <c r="B41" s="3" t="s">
        <v>15</v>
      </c>
      <c r="C41" s="3" t="s">
        <v>53</v>
      </c>
      <c r="D41" s="4">
        <v>45983.412499999999</v>
      </c>
      <c r="E41" s="3" t="s">
        <v>56</v>
      </c>
      <c r="F41" s="12">
        <v>3900</v>
      </c>
      <c r="G41" s="14">
        <f>Table1[[#This Row],[تكلفة الاصل]]*15%</f>
        <v>585</v>
      </c>
      <c r="H41" s="14">
        <f>Table1[[#This Row],[تكلفة الاصل]]+Table1[[#This Row],[ضريبة الاصل]]</f>
        <v>4485</v>
      </c>
    </row>
    <row r="42" spans="1:8" ht="24.75" customHeight="1" x14ac:dyDescent="0.25">
      <c r="A42" s="3">
        <v>32</v>
      </c>
      <c r="B42" s="3" t="s">
        <v>15</v>
      </c>
      <c r="C42" s="3" t="s">
        <v>53</v>
      </c>
      <c r="D42" s="4">
        <v>45983.412499999999</v>
      </c>
      <c r="E42" s="3" t="s">
        <v>57</v>
      </c>
      <c r="F42" s="12">
        <v>3500</v>
      </c>
      <c r="G42" s="15">
        <f>Table1[[#This Row],[تكلفة الاصل]]*15%</f>
        <v>525</v>
      </c>
      <c r="H42" s="15">
        <f>Table1[[#This Row],[تكلفة الاصل]]+Table1[[#This Row],[ضريبة الاصل]]</f>
        <v>4025</v>
      </c>
    </row>
    <row r="43" spans="1:8" ht="24.75" customHeight="1" x14ac:dyDescent="0.25">
      <c r="A43" s="5" t="s">
        <v>58</v>
      </c>
      <c r="B43" s="5" t="s">
        <v>59</v>
      </c>
      <c r="C43" s="5" t="s">
        <v>58</v>
      </c>
      <c r="D43" s="5" t="s">
        <v>58</v>
      </c>
      <c r="E43" s="5" t="s">
        <v>58</v>
      </c>
      <c r="F43" s="16">
        <f>SUBTOTAL(109,Table1[تكلفة الاصل])</f>
        <v>380398.35</v>
      </c>
      <c r="G43" s="16">
        <f>SUBTOTAL(109,Table1[ضريبة الاصل])</f>
        <v>57059.752500000002</v>
      </c>
      <c r="H43" s="16">
        <f>SUBTOTAL(109,Table1[الاجمالي شامل الضريبة])</f>
        <v>437458.10250000004</v>
      </c>
    </row>
  </sheetData>
  <mergeCells count="10">
    <mergeCell ref="A7:C7"/>
    <mergeCell ref="D7:F7"/>
    <mergeCell ref="A8:C8"/>
    <mergeCell ref="D8:F8"/>
    <mergeCell ref="A1:F1"/>
    <mergeCell ref="A3:F3"/>
    <mergeCell ref="A5:C5"/>
    <mergeCell ref="D5:F5"/>
    <mergeCell ref="A6:C6"/>
    <mergeCell ref="D6:F6"/>
  </mergeCells>
  <pageMargins left="0" right="0" top="0" bottom="0" header="0" footer="0"/>
  <pageSetup scale="5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كشف حساب_ مشاريع تحت التنفيذ لف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كشف حساب_ مشاريع تحت التنفيذ لفروع الإنتاج</dc:title>
  <dc:subject>نطاق - كشف حساب_ مشاريع تحت التنفيذ لفروع الإنتاج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ALL</cp:lastModifiedBy>
  <cp:lastPrinted>2025-12-08T12:03:07Z</cp:lastPrinted>
  <dcterms:created xsi:type="dcterms:W3CDTF">2025-12-08T11:36:30Z</dcterms:created>
  <dcterms:modified xsi:type="dcterms:W3CDTF">2025-12-08T12:03:08Z</dcterms:modified>
  <cp:category>التقارير</cp:category>
  <cp:contentStatus>معتمد</cp:contentStatus>
</cp:coreProperties>
</file>